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 Control Sheet" sheetId="1" state="visible" r:id="rId3"/>
    <sheet name="Error Codes" sheetId="2" state="visible" r:id="rId4"/>
    <sheet name="Sensor Map" sheetId="3" state="visible" r:id="rId5"/>
    <sheet name="Setup Parameters" sheetId="4" state="visible" r:id="rId6"/>
    <sheet name="Troubleshooting guide" sheetId="5" state="visible" r:id="rId7"/>
  </sheets>
  <definedNames>
    <definedName function="false" hidden="false" localSheetId="1" name="_xlnm.Print_Titles" vbProcedure="false">'Error Codes'!$7:$7</definedName>
    <definedName function="false" hidden="false" localSheetId="0" name="_xlnm.Print_Titles" vbProcedure="false">'Process Control Sheet'!$8:$8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Limits pull from 'Setup Parameters' by BOTTLE SIZE; air &amp; tension pull by LABEL TYPE. Blank = not yet entered on Setup Parameters.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0" authorId="0">
      <text>
        <r>
          <rPr>
            <sz val="10"/>
            <rFont val="Arial"/>
            <family val="2"/>
          </rPr>
          <t xml:space="preserve">Label types come from column C above - edit them there.</t>
        </r>
      </text>
    </comment>
  </commentList>
</comments>
</file>

<file path=xl/sharedStrings.xml><?xml version="1.0" encoding="utf-8"?>
<sst xmlns="http://schemas.openxmlformats.org/spreadsheetml/2006/main" count="271" uniqueCount="202">
  <si>
    <t xml:space="preserve">PROCESS CONTROL SHEET  ·  LABELER</t>
  </si>
  <si>
    <t xml:space="preserve">DRAFT  ·  Start-of-shift setup verification</t>
  </si>
  <si>
    <t xml:space="preserve">LINE #</t>
  </si>
  <si>
    <t xml:space="preserve">BOTTLE SIZE</t>
  </si>
  <si>
    <t xml:space="preserve">LABEL TYPE</t>
  </si>
  <si>
    <t xml:space="preserve">LABEL SIZE</t>
  </si>
  <si>
    <t xml:space="preserve">OPERATOR  /  DATE  /  SHIFT</t>
  </si>
  <si>
    <t xml:space="preserve">300CC</t>
  </si>
  <si>
    <t xml:space="preserve">Paper</t>
  </si>
  <si>
    <t xml:space="preserve">PARAMETER</t>
  </si>
  <si>
    <t xml:space="preserve">TYPE</t>
  </si>
  <si>
    <t xml:space="preserve">LCL</t>
  </si>
  <si>
    <t xml:space="preserve">TARGET</t>
  </si>
  <si>
    <t xml:space="preserve">UCL</t>
  </si>
  <si>
    <t xml:space="preserve">FREQUENCY</t>
  </si>
  <si>
    <t xml:space="preserve">CURRENT</t>
  </si>
  <si>
    <t xml:space="preserve">ACTION PERFORMED</t>
  </si>
  <si>
    <t xml:space="preserve">1   MACHINE SETTINGS</t>
  </si>
  <si>
    <t xml:space="preserve">Bottle guide rail width</t>
  </si>
  <si>
    <t xml:space="preserve">Moveable</t>
  </si>
  <si>
    <t xml:space="preserve">Start of shift</t>
  </si>
  <si>
    <t xml:space="preserve">Wrap belt / pad gap</t>
  </si>
  <si>
    <t xml:space="preserve">Label placement height (mm)</t>
  </si>
  <si>
    <t xml:space="preserve">Peel plate position</t>
  </si>
  <si>
    <t xml:space="preserve">Spacing wheel / feed screw</t>
  </si>
  <si>
    <t xml:space="preserve">Set for bottle size</t>
  </si>
  <si>
    <t xml:space="preserve">Labeler / conveyor speed</t>
  </si>
  <si>
    <t xml:space="preserve">Speeds synced</t>
  </si>
  <si>
    <t xml:space="preserve">2   AIR &amp; TENSION</t>
  </si>
  <si>
    <t xml:space="preserve">Label web tension</t>
  </si>
  <si>
    <t xml:space="preserve">Fixed</t>
  </si>
  <si>
    <t xml:space="preserve">Wrap station air (PSI)</t>
  </si>
  <si>
    <t xml:space="preserve">3   SENSORS &amp; INSPECTION</t>
  </si>
  <si>
    <t xml:space="preserve">Product detect sensor</t>
  </si>
  <si>
    <t xml:space="preserve">Must be ON</t>
  </si>
  <si>
    <t xml:space="preserve">Label gap sensor</t>
  </si>
  <si>
    <t xml:space="preserve">Missing label sensor</t>
  </si>
  <si>
    <t xml:space="preserve">Low label / roll-end sensor</t>
  </si>
  <si>
    <t xml:space="preserve">Splice detect sensor</t>
  </si>
  <si>
    <t xml:space="preserve">Print verification camera</t>
  </si>
  <si>
    <t xml:space="preserve">Label reject station</t>
  </si>
  <si>
    <t xml:space="preserve">4   LABEL &amp; CODE VERIFICATION</t>
  </si>
  <si>
    <t xml:space="preserve">Label roll - correct item #</t>
  </si>
  <si>
    <t xml:space="preserve">Matches batch record</t>
  </si>
  <si>
    <t xml:space="preserve">Each roll change</t>
  </si>
  <si>
    <t xml:space="preserve">Lot / Exp code</t>
  </si>
  <si>
    <t xml:space="preserve">Legible &amp; correct</t>
  </si>
  <si>
    <t xml:space="preserve">Shift start &amp; each roll</t>
  </si>
  <si>
    <t xml:space="preserve">Reject challenge test</t>
  </si>
  <si>
    <t xml:space="preserve">Bad bottle rejected</t>
  </si>
  <si>
    <t xml:space="preserve">LEGEND</t>
  </si>
  <si>
    <t xml:space="preserve">Operator entry</t>
  </si>
  <si>
    <t xml:space="preserve">Auto from Setup</t>
  </si>
  <si>
    <t xml:space="preserve">In spec / OK</t>
  </si>
  <si>
    <t xml:space="preserve">Out of spec / Fail</t>
  </si>
  <si>
    <t xml:space="preserve">Red = stop and notify lead before running</t>
  </si>
  <si>
    <t xml:space="preserve">VERIFIED BY (LEAD)</t>
  </si>
  <si>
    <t xml:space="preserve">QA REVIEW</t>
  </si>
  <si>
    <t xml:space="preserve">LABELER ALARM GUIDE</t>
  </si>
  <si>
    <t xml:space="preserve">Find the alarm on the HMI, then follow the operator action top to bottom.</t>
  </si>
  <si>
    <t xml:space="preserve">CATEGORY</t>
  </si>
  <si>
    <t xml:space="preserve">QUALITY</t>
  </si>
  <si>
    <t xml:space="preserve">MACHINE</t>
  </si>
  <si>
    <t xml:space="preserve">MATERIAL</t>
  </si>
  <si>
    <t xml:space="preserve">SAFETY</t>
  </si>
  <si>
    <t xml:space="preserve">HMI ALARM</t>
  </si>
  <si>
    <t xml:space="preserve">WHAT IT MEANS</t>
  </si>
  <si>
    <t xml:space="preserve">POSSIBLE CAUSES</t>
  </si>
  <si>
    <t xml:space="preserve">OPERATOR ACTION</t>
  </si>
  <si>
    <t xml:space="preserve">Missing label</t>
  </si>
  <si>
    <t xml:space="preserve">A bottle passed the missing-label sensor without a label</t>
  </si>
  <si>
    <t xml:space="preserve">• Label gap sensor not calibrated
• Labels stuck to liner
• Peel plate too far from bottle
• Bottle spacing too close</t>
  </si>
  <si>
    <t xml:space="preserve">1. Pull the unlabeled bottle(s)
2. Re-teach / calibrate label gap sensor
3. Check peel plate distance to bottle
4. Reset error
5. Restart line</t>
  </si>
  <si>
    <t xml:space="preserve">Print verification fail</t>
  </si>
  <si>
    <t xml:space="preserve">Camera did not read a correct lot / expiry code</t>
  </si>
  <si>
    <t xml:space="preserve">• Coder out of ink / ribbon
• Wrong code loaded
• Dirty camera lens
• Label skewed so code is out of view</t>
  </si>
  <si>
    <t xml:space="preserve">1. Pull affected bottles
2. Verify code matches batch record
3. Check ink / ribbon, clean print head
4. Clean camera lens
5. Notify QA before restarting</t>
  </si>
  <si>
    <t xml:space="preserve">Reject not confirmed</t>
  </si>
  <si>
    <t xml:space="preserve">A reject bottle was not confirmed in the reject bin and may have gone down the line</t>
  </si>
  <si>
    <t xml:space="preserve">• Reject air PSI too low
• Reject confirm sensor dirty or misaligned</t>
  </si>
  <si>
    <t xml:space="preserve">1. Find and pull the bottle downstream
2. Increase reject PSI
3. Run reject challenge test
4. Restart line</t>
  </si>
  <si>
    <t xml:space="preserve">Consecutive label rejects</t>
  </si>
  <si>
    <t xml:space="preserve">Labeler stopped after multiple rejected bottles in a row</t>
  </si>
  <si>
    <t xml:space="preserve">• Label placement out of spec
• Sensor misaligned
• Changeover incomplete</t>
  </si>
  <si>
    <t xml:space="preserve">1. Check rejected bottles for cause
2. Verify setup against Process Control Sheet
3. Correct setting
4. Restart line</t>
  </si>
  <si>
    <t xml:space="preserve">Label gap sensor fault</t>
  </si>
  <si>
    <t xml:space="preserve">Labeler cannot find the gap between labels on the web</t>
  </si>
  <si>
    <t xml:space="preserve">• Sensor not taught for current label stock
• Dirty sensor
• Web not threaded through sensor fork</t>
  </si>
  <si>
    <t xml:space="preserve">1. Verify web is threaded through the sensor
2. Clean sensor
3. Run label teach / auto-calibrate
4. Restart line</t>
  </si>
  <si>
    <t xml:space="preserve">Coder fault</t>
  </si>
  <si>
    <t xml:space="preserve">Lot / Exp coder stopped printing or reports an error</t>
  </si>
  <si>
    <t xml:space="preserve">• Ink / ribbon empty
• Print head dirty or overheated
• Communication lost</t>
  </si>
  <si>
    <t xml:space="preserve">1. Check ink / ribbon level
2. Clean print head
3. Clear coder alarm
4. Verify print, then restart line</t>
  </si>
  <si>
    <t xml:space="preserve">Bottle jam / backup</t>
  </si>
  <si>
    <t xml:space="preserve">Bottles are jammed or backed up at the labeler infeed or discharge</t>
  </si>
  <si>
    <t xml:space="preserve">• Guide rails too tight
• Downstream stopped
• Fallen bottle</t>
  </si>
  <si>
    <t xml:space="preserve">1. Clear jam
2. Verify guide rail width
3. Restart line</t>
  </si>
  <si>
    <t xml:space="preserve">Web break</t>
  </si>
  <si>
    <t xml:space="preserve">Label liner has torn or broken</t>
  </si>
  <si>
    <t xml:space="preserve">• Web tension too high
• Liner snagged on a guide
• Damaged roll / bad splice</t>
  </si>
  <si>
    <t xml:space="preserve">1. Stop line and remove torn liner
2. Re-thread web per threading diagram
3. Check web tension
4. Restart line</t>
  </si>
  <si>
    <t xml:space="preserve">Low label / end of roll</t>
  </si>
  <si>
    <t xml:space="preserve">Label roll is close to empty or has run out</t>
  </si>
  <si>
    <t xml:space="preserve">• Normal roll depletion</t>
  </si>
  <si>
    <t xml:space="preserve">1. Stage next roll (verify item # / lot)
2. Splice or change roll
3. Document roll change
4. Restart line</t>
  </si>
  <si>
    <t xml:space="preserve">Splice detected</t>
  </si>
  <si>
    <t xml:space="preserve">A splice in the label roll was detected</t>
  </si>
  <si>
    <t xml:space="preserve">• Normal supplier splice in roll</t>
  </si>
  <si>
    <t xml:space="preserve">1. Confirm bottles at splice were rejected
2. Verify labels after splice are the correct item
3. Restart line</t>
  </si>
  <si>
    <t xml:space="preserve">Security loop open / Guards open</t>
  </si>
  <si>
    <t xml:space="preserve">One or more doors are open</t>
  </si>
  <si>
    <t xml:space="preserve">• Guard bumped or pulled open
• Faulty magnet not securing the guard</t>
  </si>
  <si>
    <t xml:space="preserve">1. Open and close all guards, clear errors
2. Restart line</t>
  </si>
  <si>
    <t xml:space="preserve">LABELER SENSOR MAP</t>
  </si>
  <si>
    <t xml:space="preserve">Photo of the labeler with each sensor location called out</t>
  </si>
  <si>
    <t xml:space="preserve">Insert a photo of the labeler here
(Insert &gt; Pictures) and label each sensor</t>
  </si>
  <si>
    <t xml:space="preserve">LABELER SETUP PARAMETERS</t>
  </si>
  <si>
    <t xml:space="preserve">Master settings by bottle size. Enter validated values in the cream cells; TARGET calculates as the midpoint.</t>
  </si>
  <si>
    <t xml:space="preserve">PRODUCT</t>
  </si>
  <si>
    <t xml:space="preserve">BOTTLE GUIDE RAIL</t>
  </si>
  <si>
    <t xml:space="preserve">WRAP BELT / PAD GAP</t>
  </si>
  <si>
    <t xml:space="preserve">LABEL HEIGHT (mm)</t>
  </si>
  <si>
    <t xml:space="preserve">PEEL PLATE</t>
  </si>
  <si>
    <t xml:space="preserve">LINE</t>
  </si>
  <si>
    <t xml:space="preserve">MIN</t>
  </si>
  <si>
    <t xml:space="preserve">MAX</t>
  </si>
  <si>
    <t xml:space="preserve">SETTING</t>
  </si>
  <si>
    <t xml:space="preserve">950CC</t>
  </si>
  <si>
    <t xml:space="preserve">Film (BOPP)</t>
  </si>
  <si>
    <t xml:space="preserve">750CC</t>
  </si>
  <si>
    <t xml:space="preserve">Clear</t>
  </si>
  <si>
    <t xml:space="preserve">650CC</t>
  </si>
  <si>
    <t xml:space="preserve">400CC</t>
  </si>
  <si>
    <t xml:space="preserve">225CC</t>
  </si>
  <si>
    <t xml:space="preserve">150CC</t>
  </si>
  <si>
    <t xml:space="preserve">LABEL WEB TENSION</t>
  </si>
  <si>
    <t xml:space="preserve">WRAP STATION AIR (PSI)</t>
  </si>
  <si>
    <t xml:space="preserve">HOW TO USE</t>
  </si>
  <si>
    <t xml:space="preserve">Cream cells = enter your validated settings</t>
  </si>
  <si>
    <t xml:space="preserve">Grey cells = calculated, do not type here</t>
  </si>
  <si>
    <t xml:space="preserve">Bottle sizes &amp; label types feed the dropdowns</t>
  </si>
  <si>
    <t xml:space="preserve">on the Process Control Sheet</t>
  </si>
  <si>
    <t xml:space="preserve">LABELER TROUBLESHOOTING GUIDE</t>
  </si>
  <si>
    <t xml:space="preserve">Label quality problems: what you see, why, and how to fix it</t>
  </si>
  <si>
    <t xml:space="preserve">SYMPTOM</t>
  </si>
  <si>
    <t xml:space="preserve">POSSIBLE CAUSE</t>
  </si>
  <si>
    <t xml:space="preserve">CORRECTIVE ACTION</t>
  </si>
  <si>
    <t xml:space="preserve">VERIFY</t>
  </si>
  <si>
    <t xml:space="preserve">Wrinkled labels</t>
  </si>
  <si>
    <t xml:space="preserve">Wrap belt / pad pressure too high or uneven</t>
  </si>
  <si>
    <t xml:space="preserve">Reduce wrap pressure; check pad for wear</t>
  </si>
  <si>
    <t xml:space="preserve">Labels smooth, no creases</t>
  </si>
  <si>
    <t xml:space="preserve">Web tension too low</t>
  </si>
  <si>
    <t xml:space="preserve">Increase web tension</t>
  </si>
  <si>
    <t xml:space="preserve">Flagging labels (end lifting)</t>
  </si>
  <si>
    <t xml:space="preserve">Wrap pressure too low</t>
  </si>
  <si>
    <t xml:space="preserve">Increase wrap pressure</t>
  </si>
  <si>
    <t xml:space="preserve">Label ends fully adhered</t>
  </si>
  <si>
    <t xml:space="preserve">Bottle surface wet, dusty or oily</t>
  </si>
  <si>
    <t xml:space="preserve">Clean / dry bottles; check upstream</t>
  </si>
  <si>
    <t xml:space="preserve">Skewed / crooked labels</t>
  </si>
  <si>
    <t xml:space="preserve">Bottle guide rails too wide</t>
  </si>
  <si>
    <t xml:space="preserve">Set guide rail width correctly</t>
  </si>
  <si>
    <t xml:space="preserve">Label square to bottle base</t>
  </si>
  <si>
    <t xml:space="preserve">Peel plate not parallel to bottle</t>
  </si>
  <si>
    <t xml:space="preserve">Adjust peel plate angle</t>
  </si>
  <si>
    <t xml:space="preserve">Label too high / too low</t>
  </si>
  <si>
    <t xml:space="preserve">Applicator height not set for bottle size</t>
  </si>
  <si>
    <t xml:space="preserve">Set label height per Setup Parameters</t>
  </si>
  <si>
    <t xml:space="preserve">Height within LCL / UCL</t>
  </si>
  <si>
    <t xml:space="preserve">Labels overlapping / not closing</t>
  </si>
  <si>
    <t xml:space="preserve">Labeler speed not matched to conveyor</t>
  </si>
  <si>
    <t xml:space="preserve">Sync labeler and conveyor speed</t>
  </si>
  <si>
    <t xml:space="preserve">Seam / overlap within spec</t>
  </si>
  <si>
    <t xml:space="preserve">Bubbles under label</t>
  </si>
  <si>
    <t xml:space="preserve">Wrap pressure too low or pad worn</t>
  </si>
  <si>
    <t xml:space="preserve">Increase pressure; replace pad</t>
  </si>
  <si>
    <t xml:space="preserve">No visible bubbles</t>
  </si>
  <si>
    <t xml:space="preserve">Double labels</t>
  </si>
  <si>
    <t xml:space="preserve">Label gap sensor miscalibrated</t>
  </si>
  <si>
    <t xml:space="preserve">Re-teach label gap sensor</t>
  </si>
  <si>
    <t xml:space="preserve">One label per bottle</t>
  </si>
  <si>
    <t xml:space="preserve">Missing labels</t>
  </si>
  <si>
    <t xml:space="preserve">Bottle spacing too close</t>
  </si>
  <si>
    <t xml:space="preserve">Adjust spacing wheel / feed screw</t>
  </si>
  <si>
    <t xml:space="preserve">Every bottle labeled</t>
  </si>
  <si>
    <t xml:space="preserve">Labels stuck to liner</t>
  </si>
  <si>
    <t xml:space="preserve">Check label stock; adjust peel plate</t>
  </si>
  <si>
    <t xml:space="preserve">Smeared / unreadable lot code</t>
  </si>
  <si>
    <t xml:space="preserve">Print head dirty or ink low</t>
  </si>
  <si>
    <t xml:space="preserve">Clean print head; replace ink / ribbon</t>
  </si>
  <si>
    <t xml:space="preserve">Code legible and correct</t>
  </si>
  <si>
    <t xml:space="preserve">Label touched before ink dried</t>
  </si>
  <si>
    <t xml:space="preserve">Adjust coder position / dwell</t>
  </si>
  <si>
    <t xml:space="preserve">Labels sticking to peel plate</t>
  </si>
  <si>
    <t xml:space="preserve">Adhesive build-up on peel plate</t>
  </si>
  <si>
    <t xml:space="preserve">Clean peel plate</t>
  </si>
  <si>
    <t xml:space="preserve">Labels release cleanly</t>
  </si>
  <si>
    <t xml:space="preserve">Web drifting / tracking off</t>
  </si>
  <si>
    <t xml:space="preserve">Roll not seated on hub / guides loose</t>
  </si>
  <si>
    <t xml:space="preserve">Re-seat roll, set web guides</t>
  </si>
  <si>
    <t xml:space="preserve">Web runs centered</t>
  </si>
</sst>
</file>

<file path=xl/styles.xml><?xml version="1.0" encoding="utf-8"?>
<styleSheet xmlns="http://schemas.openxmlformats.org/spreadsheetml/2006/main">
  <numFmts count="1">
    <numFmt numFmtId="164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Narrow"/>
      <family val="0"/>
      <charset val="1"/>
    </font>
    <font>
      <b val="true"/>
      <sz val="11"/>
      <color rgb="FF1F3A4D"/>
      <name val="Aptos Narrow"/>
      <family val="0"/>
      <charset val="1"/>
    </font>
    <font>
      <b val="true"/>
      <sz val="9"/>
      <color rgb="FF6B7B8C"/>
      <name val="Aptos Narrow"/>
      <family val="0"/>
      <charset val="1"/>
    </font>
    <font>
      <b val="true"/>
      <sz val="16"/>
      <color rgb="FF1F3A4D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1"/>
      <color rgb="FF222222"/>
      <name val="Aptos Narrow"/>
      <family val="0"/>
      <charset val="1"/>
    </font>
    <font>
      <b val="true"/>
      <sz val="9"/>
      <color rgb="FFFFFFFF"/>
      <name val="Aptos Narrow"/>
      <family val="0"/>
      <charset val="1"/>
    </font>
    <font>
      <sz val="11"/>
      <color rgb="FF1F3A4D"/>
      <name val="Aptos Narrow"/>
      <family val="0"/>
      <charset val="1"/>
    </font>
    <font>
      <sz val="10"/>
      <color rgb="FF6B7B8C"/>
      <name val="Aptos Narrow"/>
      <family val="0"/>
      <charset val="1"/>
    </font>
    <font>
      <b val="true"/>
      <sz val="12"/>
      <color rgb="FF222222"/>
      <name val="Aptos Narrow"/>
      <family val="0"/>
      <charset val="1"/>
    </font>
    <font>
      <sz val="11"/>
      <color rgb="FF222222"/>
      <name val="Aptos Narrow"/>
      <family val="0"/>
      <charset val="1"/>
    </font>
    <font>
      <i val="true"/>
      <sz val="10"/>
      <color rgb="FF4A6178"/>
      <name val="Aptos Narrow"/>
      <family val="0"/>
      <charset val="1"/>
    </font>
    <font>
      <b val="true"/>
      <sz val="9"/>
      <color rgb="FF222222"/>
      <name val="Aptos Narrow"/>
      <family val="0"/>
      <charset val="1"/>
    </font>
    <font>
      <b val="true"/>
      <sz val="9"/>
      <color rgb="FF1F3A4D"/>
      <name val="Aptos Narrow"/>
      <family val="0"/>
      <charset val="1"/>
    </font>
    <font>
      <b val="true"/>
      <sz val="9"/>
      <color rgb="FF1E6B3A"/>
      <name val="Aptos Narrow"/>
      <family val="0"/>
      <charset val="1"/>
    </font>
    <font>
      <b val="true"/>
      <sz val="9"/>
      <color rgb="FF9C1C1C"/>
      <name val="Aptos Narrow"/>
      <family val="0"/>
      <charset val="1"/>
    </font>
    <font>
      <i val="true"/>
      <sz val="9"/>
      <color rgb="FF9C1C1C"/>
      <name val="Aptos Narrow"/>
      <family val="0"/>
      <charset val="1"/>
    </font>
    <font>
      <sz val="10"/>
      <name val="Arial"/>
      <family val="2"/>
    </font>
    <font>
      <b val="true"/>
      <sz val="12"/>
      <color rgb="FFFFFFFF"/>
      <name val="Aptos Narrow"/>
      <family val="0"/>
      <charset val="1"/>
    </font>
    <font>
      <b val="true"/>
      <sz val="15"/>
      <color rgb="FF1F3A4D"/>
      <name val="Aptos Narrow"/>
      <family val="0"/>
      <charset val="1"/>
    </font>
    <font>
      <sz val="12"/>
      <color rgb="FF222222"/>
      <name val="Aptos Narrow"/>
      <family val="0"/>
      <charset val="1"/>
    </font>
    <font>
      <i val="true"/>
      <sz val="14"/>
      <color rgb="FF6B7B8C"/>
      <name val="Aptos Narrow"/>
      <family val="0"/>
      <charset val="1"/>
    </font>
    <font>
      <b val="true"/>
      <sz val="11"/>
      <color rgb="FFFFFFFF"/>
      <name val="Aptos Narrow"/>
      <family val="0"/>
      <charset val="1"/>
    </font>
    <font>
      <b val="true"/>
      <sz val="10"/>
      <color rgb="FF1F3A4D"/>
      <name val="Aptos Narrow"/>
      <family val="0"/>
      <charset val="1"/>
    </font>
    <font>
      <b val="true"/>
      <sz val="12"/>
      <color rgb="FF1F3A4D"/>
      <name val="Aptos Narrow"/>
      <family val="0"/>
      <charset val="1"/>
    </font>
    <font>
      <b val="true"/>
      <sz val="11"/>
      <color rgb="FF1E6B3A"/>
      <name val="Aptos Narrow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F6B53B"/>
        <bgColor rgb="FFFF9900"/>
      </patternFill>
    </fill>
    <fill>
      <patternFill patternType="solid">
        <fgColor rgb="FFEEF2F6"/>
        <bgColor rgb="FFF7F9FB"/>
      </patternFill>
    </fill>
    <fill>
      <patternFill patternType="solid">
        <fgColor rgb="FFFFF4D6"/>
        <bgColor rgb="FFFDEBD8"/>
      </patternFill>
    </fill>
    <fill>
      <patternFill patternType="solid">
        <fgColor rgb="FFFDEBD8"/>
        <bgColor rgb="FFFFF4D6"/>
      </patternFill>
    </fill>
    <fill>
      <patternFill patternType="solid">
        <fgColor rgb="FFFFFFFF"/>
        <bgColor rgb="FFF7F9FB"/>
      </patternFill>
    </fill>
    <fill>
      <patternFill patternType="solid">
        <fgColor rgb="FFE8792B"/>
        <bgColor rgb="FFB8860B"/>
      </patternFill>
    </fill>
    <fill>
      <patternFill patternType="solid">
        <fgColor rgb="FFF7F9FB"/>
        <bgColor rgb="FFFFFFFF"/>
      </patternFill>
    </fill>
    <fill>
      <patternFill patternType="solid">
        <fgColor rgb="FF4A6178"/>
        <bgColor rgb="FF6B7B8C"/>
      </patternFill>
    </fill>
    <fill>
      <patternFill patternType="solid">
        <fgColor rgb="FFD9F2E1"/>
        <bgColor rgb="FFEEF2F6"/>
      </patternFill>
    </fill>
    <fill>
      <patternFill patternType="solid">
        <fgColor rgb="FFFAD4D4"/>
        <bgColor rgb="FFFDEBD8"/>
      </patternFill>
    </fill>
    <fill>
      <patternFill patternType="solid">
        <fgColor rgb="FF9C1C1C"/>
        <bgColor rgb="FF800000"/>
      </patternFill>
    </fill>
    <fill>
      <patternFill patternType="solid">
        <fgColor rgb="FFB8860B"/>
        <bgColor rgb="FFE8792B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 diagonalUp="false" diagonalDown="false">
      <left style="thick">
        <color rgb="FFE8792B"/>
      </left>
      <right/>
      <top style="thin">
        <color rgb="FFD0D7DE"/>
      </top>
      <bottom style="thin">
        <color rgb="FFD0D7DE"/>
      </bottom>
      <diagonal/>
    </border>
    <border diagonalUp="false" diagonalDown="false">
      <left style="dashed">
        <color rgb="FFD0D7DE"/>
      </left>
      <right style="dashed">
        <color rgb="FFD0D7DE"/>
      </right>
      <top style="dashed">
        <color rgb="FFD0D7DE"/>
      </top>
      <bottom style="dashed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3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7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9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5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8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9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ptos Narrow"/>
        <charset val="1"/>
        <family val="0"/>
        <b val="1"/>
        <color rgb="FF9C1C1C"/>
      </font>
      <fill>
        <patternFill>
          <bgColor rgb="FFFAD4D4"/>
        </patternFill>
      </fill>
    </dxf>
    <dxf>
      <font>
        <name val="Aptos Narrow"/>
        <charset val="1"/>
        <family val="0"/>
        <b val="1"/>
        <color rgb="FF1E6B3A"/>
      </font>
      <fill>
        <patternFill>
          <bgColor rgb="FFD9F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B8860B"/>
      <rgbColor rgb="FF800080"/>
      <rgbColor rgb="FF008080"/>
      <rgbColor rgb="FFC0C0C0"/>
      <rgbColor rgb="FF6B7B8C"/>
      <rgbColor rgb="FF9999FF"/>
      <rgbColor rgb="FF993366"/>
      <rgbColor rgb="FFFFF4D6"/>
      <rgbColor rgb="FFEEF2F6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B"/>
      <rgbColor rgb="FFD9F2E1"/>
      <rgbColor rgb="FFFDEBD8"/>
      <rgbColor rgb="FF99CCFF"/>
      <rgbColor rgb="FFFF99CC"/>
      <rgbColor rgb="FFCC99FF"/>
      <rgbColor rgb="FFFAD4D4"/>
      <rgbColor rgb="FF3366FF"/>
      <rgbColor rgb="FF33CCCC"/>
      <rgbColor rgb="FF99CC00"/>
      <rgbColor rgb="FFF6B53B"/>
      <rgbColor rgb="FFFF9900"/>
      <rgbColor rgb="FFE8792B"/>
      <rgbColor rgb="FF4A6178"/>
      <rgbColor rgb="FF969696"/>
      <rgbColor rgb="FF003366"/>
      <rgbColor rgb="FF339966"/>
      <rgbColor rgb="FF003300"/>
      <rgbColor rgb="FF222222"/>
      <rgbColor rgb="FF9C1C1C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0</xdr:rowOff>
    </xdr:from>
    <xdr:to>
      <xdr:col>8</xdr:col>
      <xdr:colOff>1047240</xdr:colOff>
      <xdr:row>3</xdr:row>
      <xdr:rowOff>66240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7964640" y="0"/>
          <a:ext cx="104724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0</xdr:rowOff>
    </xdr:from>
    <xdr:to>
      <xdr:col>4</xdr:col>
      <xdr:colOff>761760</xdr:colOff>
      <xdr:row>2</xdr:row>
      <xdr:rowOff>113760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9233640" y="0"/>
          <a:ext cx="761760" cy="875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92B"/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5" min="3" style="0" width="10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4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9.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</row>
    <row r="5" customFormat="false" ht="15.75" hidden="false" customHeight="true" outlineLevel="0" collapsed="false">
      <c r="A5" s="3" t="s">
        <v>2</v>
      </c>
      <c r="B5" s="3" t="s">
        <v>3</v>
      </c>
      <c r="C5" s="3"/>
      <c r="D5" s="3"/>
      <c r="E5" s="3" t="s">
        <v>4</v>
      </c>
      <c r="F5" s="3"/>
      <c r="G5" s="3" t="s">
        <v>5</v>
      </c>
      <c r="H5" s="3"/>
      <c r="I5" s="3" t="s">
        <v>6</v>
      </c>
    </row>
    <row r="6" customFormat="false" ht="30" hidden="false" customHeight="true" outlineLevel="0" collapsed="false">
      <c r="A6" s="4" t="n">
        <v>9</v>
      </c>
      <c r="B6" s="4" t="s">
        <v>7</v>
      </c>
      <c r="C6" s="4"/>
      <c r="D6" s="4"/>
      <c r="E6" s="4" t="s">
        <v>8</v>
      </c>
      <c r="F6" s="4"/>
      <c r="G6" s="4"/>
      <c r="H6" s="4"/>
      <c r="I6" s="4"/>
    </row>
    <row r="8" customFormat="false" ht="24" hidden="false" customHeight="true" outlineLevel="0" collapsed="false">
      <c r="A8" s="5" t="s">
        <v>9</v>
      </c>
      <c r="B8" s="6" t="s">
        <v>10</v>
      </c>
      <c r="C8" s="6" t="s">
        <v>11</v>
      </c>
      <c r="D8" s="6" t="s">
        <v>12</v>
      </c>
      <c r="E8" s="6" t="s">
        <v>13</v>
      </c>
      <c r="F8" s="6" t="s">
        <v>14</v>
      </c>
      <c r="G8" s="6"/>
      <c r="H8" s="6" t="s">
        <v>15</v>
      </c>
      <c r="I8" s="5" t="s">
        <v>16</v>
      </c>
    </row>
    <row r="9" customFormat="false" ht="21.75" hidden="false" customHeight="true" outlineLevel="0" collapsed="false">
      <c r="A9" s="7" t="s">
        <v>17</v>
      </c>
      <c r="B9" s="7"/>
      <c r="C9" s="7"/>
      <c r="D9" s="7"/>
      <c r="E9" s="7"/>
      <c r="F9" s="7"/>
      <c r="G9" s="7"/>
      <c r="H9" s="7"/>
      <c r="I9" s="7"/>
    </row>
    <row r="10" customFormat="false" ht="24" hidden="false" customHeight="true" outlineLevel="0" collapsed="false">
      <c r="A10" s="8" t="s">
        <v>18</v>
      </c>
      <c r="B10" s="9" t="s">
        <v>19</v>
      </c>
      <c r="C10" s="10" t="str">
        <f aca="false">IFERROR(IF(VLOOKUP($B$6,'Setup Parameters'!$D$7:$N$15,2,FALSE())="","",VLOOKUP($B$6,'Setup Parameters'!$D$7:$N$15,2,FALSE())),"")</f>
        <v/>
      </c>
      <c r="D10" s="11" t="str">
        <f aca="false">IFERROR(IF(VLOOKUP($B$6,'Setup Parameters'!$D$7:$N$15,3,FALSE())="","",VLOOKUP($B$6,'Setup Parameters'!$D$7:$N$15,3,FALSE())),"")</f>
        <v/>
      </c>
      <c r="E10" s="10" t="str">
        <f aca="false">IFERROR(IF(VLOOKUP($B$6,'Setup Parameters'!$D$7:$N$15,4,FALSE())="","",VLOOKUP($B$6,'Setup Parameters'!$D$7:$N$15,4,FALSE())),"")</f>
        <v/>
      </c>
      <c r="F10" s="12" t="s">
        <v>20</v>
      </c>
      <c r="G10" s="12"/>
      <c r="H10" s="13"/>
      <c r="I10" s="14"/>
    </row>
    <row r="11" customFormat="false" ht="24" hidden="false" customHeight="true" outlineLevel="0" collapsed="false">
      <c r="A11" s="15" t="s">
        <v>21</v>
      </c>
      <c r="B11" s="9" t="s">
        <v>19</v>
      </c>
      <c r="C11" s="10" t="str">
        <f aca="false">IFERROR(IF(VLOOKUP($B$6,'Setup Parameters'!$D$7:$N$15,5,FALSE())="","",VLOOKUP($B$6,'Setup Parameters'!$D$7:$N$15,5,FALSE())),"")</f>
        <v/>
      </c>
      <c r="D11" s="11" t="str">
        <f aca="false">IFERROR(IF(VLOOKUP($B$6,'Setup Parameters'!$D$7:$N$15,6,FALSE())="","",VLOOKUP($B$6,'Setup Parameters'!$D$7:$N$15,6,FALSE())),"")</f>
        <v/>
      </c>
      <c r="E11" s="10" t="str">
        <f aca="false">IFERROR(IF(VLOOKUP($B$6,'Setup Parameters'!$D$7:$N$15,7,FALSE())="","",VLOOKUP($B$6,'Setup Parameters'!$D$7:$N$15,7,FALSE())),"")</f>
        <v/>
      </c>
      <c r="F11" s="16" t="s">
        <v>20</v>
      </c>
      <c r="G11" s="16"/>
      <c r="H11" s="13"/>
      <c r="I11" s="17"/>
    </row>
    <row r="12" customFormat="false" ht="24" hidden="false" customHeight="true" outlineLevel="0" collapsed="false">
      <c r="A12" s="8" t="s">
        <v>22</v>
      </c>
      <c r="B12" s="9" t="s">
        <v>19</v>
      </c>
      <c r="C12" s="10" t="str">
        <f aca="false">IFERROR(IF(VLOOKUP($B$6,'Setup Parameters'!$D$7:$N$15,8,FALSE())="","",VLOOKUP($B$6,'Setup Parameters'!$D$7:$N$15,8,FALSE())),"")</f>
        <v/>
      </c>
      <c r="D12" s="11" t="str">
        <f aca="false">IFERROR(IF(VLOOKUP($B$6,'Setup Parameters'!$D$7:$N$15,9,FALSE())="","",VLOOKUP($B$6,'Setup Parameters'!$D$7:$N$15,9,FALSE())),"")</f>
        <v/>
      </c>
      <c r="E12" s="10" t="str">
        <f aca="false">IFERROR(IF(VLOOKUP($B$6,'Setup Parameters'!$D$7:$N$15,10,FALSE())="","",VLOOKUP($B$6,'Setup Parameters'!$D$7:$N$15,10,FALSE())),"")</f>
        <v/>
      </c>
      <c r="F12" s="12" t="s">
        <v>20</v>
      </c>
      <c r="G12" s="12"/>
      <c r="H12" s="13"/>
      <c r="I12" s="14"/>
    </row>
    <row r="13" customFormat="false" ht="24" hidden="false" customHeight="true" outlineLevel="0" collapsed="false">
      <c r="A13" s="15" t="s">
        <v>23</v>
      </c>
      <c r="B13" s="9" t="s">
        <v>19</v>
      </c>
      <c r="C13" s="11" t="str">
        <f aca="false">IFERROR(IF(VLOOKUP($B$6,'Setup Parameters'!$D$7:$N$15,11,FALSE())="","",VLOOKUP($B$6,'Setup Parameters'!$D$7:$N$15,11,FALSE())),"")</f>
        <v/>
      </c>
      <c r="D13" s="11"/>
      <c r="E13" s="11"/>
      <c r="F13" s="16" t="s">
        <v>20</v>
      </c>
      <c r="G13" s="16"/>
      <c r="H13" s="13"/>
      <c r="I13" s="17"/>
    </row>
    <row r="14" customFormat="false" ht="24" hidden="false" customHeight="true" outlineLevel="0" collapsed="false">
      <c r="A14" s="8" t="s">
        <v>24</v>
      </c>
      <c r="B14" s="9" t="s">
        <v>19</v>
      </c>
      <c r="C14" s="18" t="s">
        <v>25</v>
      </c>
      <c r="D14" s="18"/>
      <c r="E14" s="18"/>
      <c r="F14" s="12" t="s">
        <v>20</v>
      </c>
      <c r="G14" s="12"/>
      <c r="H14" s="13"/>
      <c r="I14" s="14"/>
    </row>
    <row r="15" customFormat="false" ht="24" hidden="false" customHeight="true" outlineLevel="0" collapsed="false">
      <c r="A15" s="15" t="s">
        <v>26</v>
      </c>
      <c r="B15" s="9" t="s">
        <v>19</v>
      </c>
      <c r="C15" s="18" t="s">
        <v>27</v>
      </c>
      <c r="D15" s="18"/>
      <c r="E15" s="18"/>
      <c r="F15" s="16" t="s">
        <v>20</v>
      </c>
      <c r="G15" s="16"/>
      <c r="H15" s="13"/>
      <c r="I15" s="17"/>
    </row>
    <row r="16" customFormat="false" ht="21.75" hidden="false" customHeight="true" outlineLevel="0" collapsed="false">
      <c r="A16" s="7" t="s">
        <v>28</v>
      </c>
      <c r="B16" s="7"/>
      <c r="C16" s="7"/>
      <c r="D16" s="7"/>
      <c r="E16" s="7"/>
      <c r="F16" s="7"/>
      <c r="G16" s="7"/>
      <c r="H16" s="7"/>
      <c r="I16" s="7"/>
    </row>
    <row r="17" customFormat="false" ht="24" hidden="false" customHeight="true" outlineLevel="0" collapsed="false">
      <c r="A17" s="8" t="s">
        <v>29</v>
      </c>
      <c r="B17" s="19" t="s">
        <v>30</v>
      </c>
      <c r="C17" s="10" t="str">
        <f aca="false">IFERROR(IF(VLOOKUP($E$6,'Setup Parameters'!$A$20:$I$22,4,FALSE())="","",VLOOKUP($E$6,'Setup Parameters'!$A$20:$I$22,4,FALSE())),"")</f>
        <v/>
      </c>
      <c r="D17" s="11" t="str">
        <f aca="false">IFERROR(IF(VLOOKUP($E$6,'Setup Parameters'!$A$20:$I$22,5,FALSE())="","",VLOOKUP($E$6,'Setup Parameters'!$A$20:$I$22,5,FALSE())),"")</f>
        <v/>
      </c>
      <c r="E17" s="10" t="str">
        <f aca="false">IFERROR(IF(VLOOKUP($E$6,'Setup Parameters'!$A$20:$I$22,6,FALSE())="","",VLOOKUP($E$6,'Setup Parameters'!$A$20:$I$22,6,FALSE())),"")</f>
        <v/>
      </c>
      <c r="F17" s="12" t="s">
        <v>20</v>
      </c>
      <c r="G17" s="12"/>
      <c r="H17" s="13"/>
      <c r="I17" s="14"/>
    </row>
    <row r="18" customFormat="false" ht="24" hidden="false" customHeight="true" outlineLevel="0" collapsed="false">
      <c r="A18" s="15" t="s">
        <v>31</v>
      </c>
      <c r="B18" s="19" t="s">
        <v>30</v>
      </c>
      <c r="C18" s="10" t="str">
        <f aca="false">IFERROR(IF(VLOOKUP($E$6,'Setup Parameters'!$A$20:$I$22,7,FALSE())="","",VLOOKUP($E$6,'Setup Parameters'!$A$20:$I$22,7,FALSE())),"")</f>
        <v/>
      </c>
      <c r="D18" s="11" t="str">
        <f aca="false">IFERROR(IF(VLOOKUP($E$6,'Setup Parameters'!$A$20:$I$22,8,FALSE())="","",VLOOKUP($E$6,'Setup Parameters'!$A$20:$I$22,8,FALSE())),"")</f>
        <v/>
      </c>
      <c r="E18" s="10" t="str">
        <f aca="false">IFERROR(IF(VLOOKUP($E$6,'Setup Parameters'!$A$20:$I$22,9,FALSE())="","",VLOOKUP($E$6,'Setup Parameters'!$A$20:$I$22,9,FALSE())),"")</f>
        <v/>
      </c>
      <c r="F18" s="16" t="s">
        <v>20</v>
      </c>
      <c r="G18" s="16"/>
      <c r="H18" s="13"/>
      <c r="I18" s="17"/>
    </row>
    <row r="19" customFormat="false" ht="21.75" hidden="false" customHeight="true" outlineLevel="0" collapsed="false">
      <c r="A19" s="7" t="s">
        <v>32</v>
      </c>
      <c r="B19" s="7"/>
      <c r="C19" s="7"/>
      <c r="D19" s="7"/>
      <c r="E19" s="7"/>
      <c r="F19" s="7"/>
      <c r="G19" s="7"/>
      <c r="H19" s="7"/>
      <c r="I19" s="7"/>
    </row>
    <row r="20" customFormat="false" ht="24" hidden="false" customHeight="true" outlineLevel="0" collapsed="false">
      <c r="A20" s="8" t="s">
        <v>33</v>
      </c>
      <c r="B20" s="19" t="s">
        <v>30</v>
      </c>
      <c r="C20" s="18" t="s">
        <v>34</v>
      </c>
      <c r="D20" s="18"/>
      <c r="E20" s="18"/>
      <c r="F20" s="12" t="s">
        <v>20</v>
      </c>
      <c r="G20" s="12"/>
      <c r="H20" s="13"/>
      <c r="I20" s="14"/>
    </row>
    <row r="21" customFormat="false" ht="24" hidden="false" customHeight="true" outlineLevel="0" collapsed="false">
      <c r="A21" s="15" t="s">
        <v>35</v>
      </c>
      <c r="B21" s="19" t="s">
        <v>30</v>
      </c>
      <c r="C21" s="18" t="s">
        <v>34</v>
      </c>
      <c r="D21" s="18"/>
      <c r="E21" s="18"/>
      <c r="F21" s="16" t="s">
        <v>20</v>
      </c>
      <c r="G21" s="16"/>
      <c r="H21" s="13"/>
      <c r="I21" s="17"/>
    </row>
    <row r="22" customFormat="false" ht="24" hidden="false" customHeight="true" outlineLevel="0" collapsed="false">
      <c r="A22" s="8" t="s">
        <v>36</v>
      </c>
      <c r="B22" s="19" t="s">
        <v>30</v>
      </c>
      <c r="C22" s="18" t="s">
        <v>34</v>
      </c>
      <c r="D22" s="18"/>
      <c r="E22" s="18"/>
      <c r="F22" s="12" t="s">
        <v>20</v>
      </c>
      <c r="G22" s="12"/>
      <c r="H22" s="13"/>
      <c r="I22" s="14"/>
    </row>
    <row r="23" customFormat="false" ht="24" hidden="false" customHeight="true" outlineLevel="0" collapsed="false">
      <c r="A23" s="15" t="s">
        <v>37</v>
      </c>
      <c r="B23" s="19" t="s">
        <v>30</v>
      </c>
      <c r="C23" s="18" t="s">
        <v>34</v>
      </c>
      <c r="D23" s="18"/>
      <c r="E23" s="18"/>
      <c r="F23" s="16" t="s">
        <v>20</v>
      </c>
      <c r="G23" s="16"/>
      <c r="H23" s="13"/>
      <c r="I23" s="17"/>
    </row>
    <row r="24" customFormat="false" ht="24" hidden="false" customHeight="true" outlineLevel="0" collapsed="false">
      <c r="A24" s="8" t="s">
        <v>38</v>
      </c>
      <c r="B24" s="19" t="s">
        <v>30</v>
      </c>
      <c r="C24" s="18" t="s">
        <v>34</v>
      </c>
      <c r="D24" s="18"/>
      <c r="E24" s="18"/>
      <c r="F24" s="12" t="s">
        <v>20</v>
      </c>
      <c r="G24" s="12"/>
      <c r="H24" s="13"/>
      <c r="I24" s="14"/>
    </row>
    <row r="25" customFormat="false" ht="24" hidden="false" customHeight="true" outlineLevel="0" collapsed="false">
      <c r="A25" s="15" t="s">
        <v>39</v>
      </c>
      <c r="B25" s="19" t="s">
        <v>30</v>
      </c>
      <c r="C25" s="18" t="s">
        <v>34</v>
      </c>
      <c r="D25" s="18"/>
      <c r="E25" s="18"/>
      <c r="F25" s="16" t="s">
        <v>20</v>
      </c>
      <c r="G25" s="16"/>
      <c r="H25" s="13"/>
      <c r="I25" s="17"/>
    </row>
    <row r="26" customFormat="false" ht="24" hidden="false" customHeight="true" outlineLevel="0" collapsed="false">
      <c r="A26" s="8" t="s">
        <v>40</v>
      </c>
      <c r="B26" s="19" t="s">
        <v>30</v>
      </c>
      <c r="C26" s="18" t="s">
        <v>34</v>
      </c>
      <c r="D26" s="18"/>
      <c r="E26" s="18"/>
      <c r="F26" s="12" t="s">
        <v>20</v>
      </c>
      <c r="G26" s="12"/>
      <c r="H26" s="13"/>
      <c r="I26" s="14"/>
    </row>
    <row r="27" customFormat="false" ht="21.75" hidden="false" customHeight="true" outlineLevel="0" collapsed="false">
      <c r="A27" s="7" t="s">
        <v>41</v>
      </c>
      <c r="B27" s="7"/>
      <c r="C27" s="7"/>
      <c r="D27" s="7"/>
      <c r="E27" s="7"/>
      <c r="F27" s="7"/>
      <c r="G27" s="7"/>
      <c r="H27" s="7"/>
      <c r="I27" s="7"/>
    </row>
    <row r="28" customFormat="false" ht="24" hidden="false" customHeight="true" outlineLevel="0" collapsed="false">
      <c r="A28" s="8" t="s">
        <v>42</v>
      </c>
      <c r="B28" s="19" t="s">
        <v>30</v>
      </c>
      <c r="C28" s="18" t="s">
        <v>43</v>
      </c>
      <c r="D28" s="18"/>
      <c r="E28" s="18"/>
      <c r="F28" s="12" t="s">
        <v>44</v>
      </c>
      <c r="G28" s="12"/>
      <c r="H28" s="13"/>
      <c r="I28" s="14"/>
    </row>
    <row r="29" customFormat="false" ht="24" hidden="false" customHeight="true" outlineLevel="0" collapsed="false">
      <c r="A29" s="15" t="s">
        <v>45</v>
      </c>
      <c r="B29" s="19" t="s">
        <v>30</v>
      </c>
      <c r="C29" s="18" t="s">
        <v>46</v>
      </c>
      <c r="D29" s="18"/>
      <c r="E29" s="18"/>
      <c r="F29" s="16" t="s">
        <v>47</v>
      </c>
      <c r="G29" s="16"/>
      <c r="H29" s="13"/>
      <c r="I29" s="17"/>
    </row>
    <row r="30" customFormat="false" ht="24" hidden="false" customHeight="true" outlineLevel="0" collapsed="false">
      <c r="A30" s="8" t="s">
        <v>48</v>
      </c>
      <c r="B30" s="19" t="s">
        <v>30</v>
      </c>
      <c r="C30" s="18" t="s">
        <v>49</v>
      </c>
      <c r="D30" s="18"/>
      <c r="E30" s="18"/>
      <c r="F30" s="12" t="s">
        <v>20</v>
      </c>
      <c r="G30" s="12"/>
      <c r="H30" s="13"/>
      <c r="I30" s="14"/>
    </row>
    <row r="32" customFormat="false" ht="19.5" hidden="false" customHeight="true" outlineLevel="0" collapsed="false">
      <c r="A32" s="20" t="s">
        <v>50</v>
      </c>
      <c r="B32" s="21" t="s">
        <v>51</v>
      </c>
      <c r="C32" s="21"/>
      <c r="D32" s="22" t="s">
        <v>52</v>
      </c>
      <c r="E32" s="22"/>
      <c r="F32" s="23" t="s">
        <v>53</v>
      </c>
      <c r="G32" s="23"/>
      <c r="H32" s="24" t="s">
        <v>54</v>
      </c>
      <c r="I32" s="25" t="s">
        <v>55</v>
      </c>
    </row>
    <row r="34" customFormat="false" ht="25.5" hidden="false" customHeight="true" outlineLevel="0" collapsed="false">
      <c r="A34" s="20" t="s">
        <v>56</v>
      </c>
      <c r="B34" s="26"/>
      <c r="C34" s="26"/>
      <c r="D34" s="26"/>
      <c r="E34" s="26"/>
      <c r="F34" s="27" t="s">
        <v>57</v>
      </c>
      <c r="G34" s="27"/>
      <c r="H34" s="26"/>
      <c r="I34" s="26"/>
    </row>
  </sheetData>
  <mergeCells count="50">
    <mergeCell ref="A1:H2"/>
    <mergeCell ref="A3:H3"/>
    <mergeCell ref="B5:D5"/>
    <mergeCell ref="E5:F5"/>
    <mergeCell ref="G5:H5"/>
    <mergeCell ref="B6:D6"/>
    <mergeCell ref="E6:F6"/>
    <mergeCell ref="G6:H6"/>
    <mergeCell ref="F8:G8"/>
    <mergeCell ref="A9:I9"/>
    <mergeCell ref="F10:G10"/>
    <mergeCell ref="F11:G11"/>
    <mergeCell ref="F12:G12"/>
    <mergeCell ref="C13:E13"/>
    <mergeCell ref="F13:G13"/>
    <mergeCell ref="C14:E14"/>
    <mergeCell ref="F14:G14"/>
    <mergeCell ref="C15:E15"/>
    <mergeCell ref="F15:G15"/>
    <mergeCell ref="A16:I16"/>
    <mergeCell ref="F17:G17"/>
    <mergeCell ref="F18:G18"/>
    <mergeCell ref="A19:I19"/>
    <mergeCell ref="C20:E20"/>
    <mergeCell ref="F20:G20"/>
    <mergeCell ref="C21:E21"/>
    <mergeCell ref="F21:G21"/>
    <mergeCell ref="C22:E22"/>
    <mergeCell ref="F22:G22"/>
    <mergeCell ref="C23:E23"/>
    <mergeCell ref="F23:G23"/>
    <mergeCell ref="C24:E24"/>
    <mergeCell ref="F24:G24"/>
    <mergeCell ref="C25:E25"/>
    <mergeCell ref="F25:G25"/>
    <mergeCell ref="C26:E26"/>
    <mergeCell ref="F26:G26"/>
    <mergeCell ref="A27:I27"/>
    <mergeCell ref="C28:E28"/>
    <mergeCell ref="F28:G28"/>
    <mergeCell ref="C29:E29"/>
    <mergeCell ref="F29:G29"/>
    <mergeCell ref="C30:E30"/>
    <mergeCell ref="F30:G30"/>
    <mergeCell ref="B32:C32"/>
    <mergeCell ref="D32:E32"/>
    <mergeCell ref="F32:G32"/>
    <mergeCell ref="B34:E34"/>
    <mergeCell ref="F34:G34"/>
    <mergeCell ref="H34:I34"/>
  </mergeCells>
  <conditionalFormatting sqref="H10">
    <cfRule type="expression" priority="2" aboveAverage="0" equalAverage="0" bottom="0" percent="0" rank="0" text="" dxfId="0">
      <formula>AND(ISNUMBER(H10),ISNUMBER(C10),ISNUMBER(E10),OR(H10&lt;C10,H10&gt;E10))</formula>
    </cfRule>
    <cfRule type="expression" priority="3" aboveAverage="0" equalAverage="0" bottom="0" percent="0" rank="0" text="" dxfId="1">
      <formula>AND(ISNUMBER(H10),ISNUMBER(C10),ISNUMBER(E10))</formula>
    </cfRule>
  </conditionalFormatting>
  <conditionalFormatting sqref="H11">
    <cfRule type="expression" priority="4" aboveAverage="0" equalAverage="0" bottom="0" percent="0" rank="0" text="" dxfId="0">
      <formula>AND(ISNUMBER(H11),ISNUMBER(C11),ISNUMBER(E11),OR(H11&lt;C11,H11&gt;E11))</formula>
    </cfRule>
    <cfRule type="expression" priority="5" aboveAverage="0" equalAverage="0" bottom="0" percent="0" rank="0" text="" dxfId="1">
      <formula>AND(ISNUMBER(H11),ISNUMBER(C11),ISNUMBER(E11))</formula>
    </cfRule>
  </conditionalFormatting>
  <conditionalFormatting sqref="H12">
    <cfRule type="expression" priority="6" aboveAverage="0" equalAverage="0" bottom="0" percent="0" rank="0" text="" dxfId="0">
      <formula>AND(ISNUMBER(H12),ISNUMBER(C12),ISNUMBER(E12),OR(H12&lt;C12,H12&gt;E12))</formula>
    </cfRule>
    <cfRule type="expression" priority="7" aboveAverage="0" equalAverage="0" bottom="0" percent="0" rank="0" text="" dxfId="1">
      <formula>AND(ISNUMBER(H12),ISNUMBER(C12),ISNUMBER(E12))</formula>
    </cfRule>
  </conditionalFormatting>
  <conditionalFormatting sqref="H17">
    <cfRule type="expression" priority="8" aboveAverage="0" equalAverage="0" bottom="0" percent="0" rank="0" text="" dxfId="0">
      <formula>AND(ISNUMBER(H17),ISNUMBER(C17),ISNUMBER(E17),OR(H17&lt;C17,H17&gt;E17))</formula>
    </cfRule>
    <cfRule type="expression" priority="9" aboveAverage="0" equalAverage="0" bottom="0" percent="0" rank="0" text="" dxfId="1">
      <formula>AND(ISNUMBER(H17),ISNUMBER(C17),ISNUMBER(E17))</formula>
    </cfRule>
  </conditionalFormatting>
  <conditionalFormatting sqref="H18">
    <cfRule type="expression" priority="10" aboveAverage="0" equalAverage="0" bottom="0" percent="0" rank="0" text="" dxfId="0">
      <formula>AND(ISNUMBER(H18),ISNUMBER(C18),ISNUMBER(E18),OR(H18&lt;C18,H18&gt;E18))</formula>
    </cfRule>
    <cfRule type="expression" priority="11" aboveAverage="0" equalAverage="0" bottom="0" percent="0" rank="0" text="" dxfId="1">
      <formula>AND(ISNUMBER(H18),ISNUMBER(C18),ISNUMBER(E18))</formula>
    </cfRule>
  </conditionalFormatting>
  <conditionalFormatting sqref="H14 H15 H20 H21 H22 H23 H24 H25 H26 H28 H29 H30">
    <cfRule type="expression" priority="12" aboveAverage="0" equalAverage="0" bottom="0" percent="0" rank="0" text="" dxfId="0">
      <formula>OR(H14="Off",H14="Fail",H14="No")</formula>
    </cfRule>
    <cfRule type="expression" priority="13" aboveAverage="0" equalAverage="0" bottom="0" percent="0" rank="0" text="" dxfId="1">
      <formula>OR(H14="On",H14="Pass",H14="Yes")</formula>
    </cfRule>
  </conditionalFormatting>
  <dataValidations count="7">
    <dataValidation allowBlank="true" errorStyle="stop" operator="between" showDropDown="false" showErrorMessage="false" showInputMessage="false" sqref="H14:H15" type="list">
      <formula1>"Yes,No"</formula1>
      <formula2>0</formula2>
    </dataValidation>
    <dataValidation allowBlank="true" errorStyle="stop" operator="between" showDropDown="false" showErrorMessage="false" showInputMessage="false" sqref="H20:H26" type="list">
      <formula1>"On,Off"</formula1>
      <formula2>0</formula2>
    </dataValidation>
    <dataValidation allowBlank="true" errorStyle="stop" operator="between" showDropDown="false" showErrorMessage="false" showInputMessage="false" sqref="H28:H30" type="list">
      <formula1>"Pass,Fail"</formula1>
      <formula2>0</formula2>
    </dataValidation>
    <dataValidation allowBlank="true" errorStyle="stop" operator="between" showDropDown="false" showErrorMessage="false" showInputMessage="false" sqref="A6" type="list">
      <formula1>'Setup Parameters'!$A$7:$A$15</formula1>
      <formula2>0</formula2>
    </dataValidation>
    <dataValidation allowBlank="true" errorStyle="stop" operator="between" showDropDown="false" showErrorMessage="false" showInputMessage="false" sqref="B6" type="list">
      <formula1>'Setup Parameters'!$D$7:$D$13</formula1>
      <formula2>0</formula2>
    </dataValidation>
    <dataValidation allowBlank="true" errorStyle="stop" operator="between" showDropDown="false" showErrorMessage="false" showInputMessage="false" sqref="E6" type="list">
      <formula1>'Setup Parameters'!$C$7:$C$9</formula1>
      <formula2>0</formula2>
    </dataValidation>
    <dataValidation allowBlank="true" errorStyle="stop" operator="between" showDropDown="false" showErrorMessage="false" showInputMessage="false" sqref="G6" type="list">
      <formula1>'Setup Parameters'!$B$7:$B$15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1C1C"/>
    <pageSetUpPr fitToPage="tru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3" min="3" style="0" width="38"/>
    <col collapsed="false" customWidth="true" hidden="false" outlineLevel="0" max="4" min="4" style="0" width="44"/>
    <col collapsed="false" customWidth="true" hidden="false" outlineLevel="0" max="5" min="5" style="0" width="58"/>
  </cols>
  <sheetData>
    <row r="1" customFormat="false" ht="30" hidden="false" customHeight="true" outlineLevel="0" collapsed="false">
      <c r="A1" s="1" t="s">
        <v>58</v>
      </c>
      <c r="B1" s="1"/>
      <c r="C1" s="1"/>
      <c r="D1" s="1"/>
    </row>
    <row r="2" customFormat="false" ht="30" hidden="false" customHeight="true" outlineLevel="0" collapsed="false">
      <c r="A2" s="1"/>
      <c r="B2" s="1"/>
      <c r="C2" s="1"/>
      <c r="D2" s="1"/>
    </row>
    <row r="3" customFormat="false" ht="21.75" hidden="false" customHeight="true" outlineLevel="0" collapsed="false">
      <c r="A3" s="2" t="s">
        <v>59</v>
      </c>
      <c r="B3" s="2"/>
      <c r="C3" s="2"/>
      <c r="D3" s="2"/>
    </row>
    <row r="5" customFormat="false" ht="19.5" hidden="false" customHeight="true" outlineLevel="0" collapsed="false">
      <c r="A5" s="20" t="s">
        <v>60</v>
      </c>
      <c r="B5" s="28" t="s">
        <v>61</v>
      </c>
      <c r="C5" s="29" t="s">
        <v>62</v>
      </c>
      <c r="D5" s="30" t="s">
        <v>63</v>
      </c>
      <c r="E5" s="31" t="s">
        <v>64</v>
      </c>
    </row>
    <row r="7" customFormat="false" ht="27.75" hidden="false" customHeight="true" outlineLevel="0" collapsed="false">
      <c r="A7" s="32" t="s">
        <v>60</v>
      </c>
      <c r="B7" s="33" t="s">
        <v>65</v>
      </c>
      <c r="C7" s="33" t="s">
        <v>66</v>
      </c>
      <c r="D7" s="33" t="s">
        <v>67</v>
      </c>
      <c r="E7" s="33" t="s">
        <v>68</v>
      </c>
    </row>
    <row r="8" customFormat="false" ht="105" hidden="false" customHeight="true" outlineLevel="0" collapsed="false">
      <c r="A8" s="28" t="s">
        <v>61</v>
      </c>
      <c r="B8" s="34" t="s">
        <v>69</v>
      </c>
      <c r="C8" s="35" t="s">
        <v>70</v>
      </c>
      <c r="D8" s="36" t="s">
        <v>71</v>
      </c>
      <c r="E8" s="36" t="s">
        <v>72</v>
      </c>
    </row>
    <row r="9" customFormat="false" ht="105" hidden="false" customHeight="true" outlineLevel="0" collapsed="false">
      <c r="A9" s="28" t="s">
        <v>61</v>
      </c>
      <c r="B9" s="37" t="s">
        <v>73</v>
      </c>
      <c r="C9" s="38" t="s">
        <v>74</v>
      </c>
      <c r="D9" s="39" t="s">
        <v>75</v>
      </c>
      <c r="E9" s="39" t="s">
        <v>76</v>
      </c>
    </row>
    <row r="10" customFormat="false" ht="85.5" hidden="false" customHeight="true" outlineLevel="0" collapsed="false">
      <c r="A10" s="28" t="s">
        <v>61</v>
      </c>
      <c r="B10" s="34" t="s">
        <v>77</v>
      </c>
      <c r="C10" s="35" t="s">
        <v>78</v>
      </c>
      <c r="D10" s="36" t="s">
        <v>79</v>
      </c>
      <c r="E10" s="36" t="s">
        <v>80</v>
      </c>
    </row>
    <row r="11" customFormat="false" ht="85.5" hidden="false" customHeight="true" outlineLevel="0" collapsed="false">
      <c r="A11" s="28" t="s">
        <v>61</v>
      </c>
      <c r="B11" s="37" t="s">
        <v>81</v>
      </c>
      <c r="C11" s="38" t="s">
        <v>82</v>
      </c>
      <c r="D11" s="39" t="s">
        <v>83</v>
      </c>
      <c r="E11" s="39" t="s">
        <v>84</v>
      </c>
    </row>
    <row r="12" customFormat="false" ht="85.5" hidden="false" customHeight="true" outlineLevel="0" collapsed="false">
      <c r="A12" s="29" t="s">
        <v>62</v>
      </c>
      <c r="B12" s="34" t="s">
        <v>85</v>
      </c>
      <c r="C12" s="35" t="s">
        <v>86</v>
      </c>
      <c r="D12" s="36" t="s">
        <v>87</v>
      </c>
      <c r="E12" s="36" t="s">
        <v>88</v>
      </c>
    </row>
    <row r="13" customFormat="false" ht="85.5" hidden="false" customHeight="true" outlineLevel="0" collapsed="false">
      <c r="A13" s="29" t="s">
        <v>62</v>
      </c>
      <c r="B13" s="37" t="s">
        <v>89</v>
      </c>
      <c r="C13" s="38" t="s">
        <v>90</v>
      </c>
      <c r="D13" s="39" t="s">
        <v>91</v>
      </c>
      <c r="E13" s="39" t="s">
        <v>92</v>
      </c>
    </row>
    <row r="14" customFormat="false" ht="66.75" hidden="false" customHeight="true" outlineLevel="0" collapsed="false">
      <c r="A14" s="29" t="s">
        <v>62</v>
      </c>
      <c r="B14" s="34" t="s">
        <v>93</v>
      </c>
      <c r="C14" s="35" t="s">
        <v>94</v>
      </c>
      <c r="D14" s="36" t="s">
        <v>95</v>
      </c>
      <c r="E14" s="36" t="s">
        <v>96</v>
      </c>
    </row>
    <row r="15" customFormat="false" ht="85.5" hidden="false" customHeight="true" outlineLevel="0" collapsed="false">
      <c r="A15" s="30" t="s">
        <v>63</v>
      </c>
      <c r="B15" s="37" t="s">
        <v>97</v>
      </c>
      <c r="C15" s="38" t="s">
        <v>98</v>
      </c>
      <c r="D15" s="39" t="s">
        <v>99</v>
      </c>
      <c r="E15" s="39" t="s">
        <v>100</v>
      </c>
    </row>
    <row r="16" customFormat="false" ht="85.5" hidden="false" customHeight="true" outlineLevel="0" collapsed="false">
      <c r="A16" s="30" t="s">
        <v>63</v>
      </c>
      <c r="B16" s="34" t="s">
        <v>101</v>
      </c>
      <c r="C16" s="35" t="s">
        <v>102</v>
      </c>
      <c r="D16" s="36" t="s">
        <v>103</v>
      </c>
      <c r="E16" s="36" t="s">
        <v>104</v>
      </c>
    </row>
    <row r="17" customFormat="false" ht="66.75" hidden="false" customHeight="true" outlineLevel="0" collapsed="false">
      <c r="A17" s="30" t="s">
        <v>63</v>
      </c>
      <c r="B17" s="37" t="s">
        <v>105</v>
      </c>
      <c r="C17" s="38" t="s">
        <v>106</v>
      </c>
      <c r="D17" s="39" t="s">
        <v>107</v>
      </c>
      <c r="E17" s="39" t="s">
        <v>108</v>
      </c>
    </row>
    <row r="18" customFormat="false" ht="48" hidden="false" customHeight="true" outlineLevel="0" collapsed="false">
      <c r="A18" s="31" t="s">
        <v>64</v>
      </c>
      <c r="B18" s="34" t="s">
        <v>109</v>
      </c>
      <c r="C18" s="35" t="s">
        <v>110</v>
      </c>
      <c r="D18" s="36" t="s">
        <v>111</v>
      </c>
      <c r="E18" s="36" t="s">
        <v>112</v>
      </c>
    </row>
  </sheetData>
  <mergeCells count="2">
    <mergeCell ref="A1:D2"/>
    <mergeCell ref="A3:D3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B53B"/>
    <pageSetUpPr fitToPage="tru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2"/>
  </cols>
  <sheetData>
    <row r="1" customFormat="false" ht="25.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5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true" outlineLevel="0" collapsed="false">
      <c r="A3" s="2" t="s">
        <v>114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6" customFormat="false" ht="15" hidden="false" customHeight="true" outlineLevel="0" collapsed="false">
      <c r="B6" s="40" t="s">
        <v>115</v>
      </c>
      <c r="C6" s="40"/>
      <c r="D6" s="40"/>
      <c r="E6" s="40"/>
      <c r="F6" s="40"/>
      <c r="G6" s="40"/>
      <c r="H6" s="40"/>
      <c r="I6" s="40"/>
      <c r="J6" s="40"/>
      <c r="K6" s="40"/>
    </row>
    <row r="7" customFormat="false" ht="15" hidden="false" customHeight="false" outlineLevel="0" collapsed="false">
      <c r="B7" s="40"/>
      <c r="C7" s="40"/>
      <c r="D7" s="40"/>
      <c r="E7" s="40"/>
      <c r="F7" s="40"/>
      <c r="G7" s="40"/>
      <c r="H7" s="40"/>
      <c r="I7" s="40"/>
      <c r="J7" s="40"/>
      <c r="K7" s="40"/>
    </row>
    <row r="8" customFormat="false" ht="15" hidden="false" customHeight="false" outlineLevel="0" collapsed="false">
      <c r="B8" s="40"/>
      <c r="C8" s="40"/>
      <c r="D8" s="40"/>
      <c r="E8" s="40"/>
      <c r="F8" s="40"/>
      <c r="G8" s="40"/>
      <c r="H8" s="40"/>
      <c r="I8" s="40"/>
      <c r="J8" s="40"/>
      <c r="K8" s="40"/>
    </row>
    <row r="9" customFormat="false" ht="15" hidden="false" customHeight="false" outlineLevel="0" collapsed="false">
      <c r="B9" s="40"/>
      <c r="C9" s="40"/>
      <c r="D9" s="40"/>
      <c r="E9" s="40"/>
      <c r="F9" s="40"/>
      <c r="G9" s="40"/>
      <c r="H9" s="40"/>
      <c r="I9" s="40"/>
      <c r="J9" s="40"/>
      <c r="K9" s="40"/>
    </row>
    <row r="10" customFormat="false" ht="15" hidden="false" customHeight="false" outlineLevel="0" collapsed="false">
      <c r="B10" s="40"/>
      <c r="C10" s="40"/>
      <c r="D10" s="40"/>
      <c r="E10" s="40"/>
      <c r="F10" s="40"/>
      <c r="G10" s="40"/>
      <c r="H10" s="40"/>
      <c r="I10" s="40"/>
      <c r="J10" s="40"/>
      <c r="K10" s="40"/>
    </row>
    <row r="11" customFormat="false" ht="15" hidden="false" customHeight="false" outlineLevel="0" collapsed="false">
      <c r="B11" s="40"/>
      <c r="C11" s="40"/>
      <c r="D11" s="40"/>
      <c r="E11" s="40"/>
      <c r="F11" s="40"/>
      <c r="G11" s="40"/>
      <c r="H11" s="40"/>
      <c r="I11" s="40"/>
      <c r="J11" s="40"/>
      <c r="K11" s="40"/>
    </row>
    <row r="12" customFormat="false" ht="15" hidden="false" customHeight="false" outlineLevel="0" collapsed="false">
      <c r="B12" s="40"/>
      <c r="C12" s="40"/>
      <c r="D12" s="40"/>
      <c r="E12" s="40"/>
      <c r="F12" s="40"/>
      <c r="G12" s="40"/>
      <c r="H12" s="40"/>
      <c r="I12" s="40"/>
      <c r="J12" s="40"/>
      <c r="K12" s="40"/>
    </row>
    <row r="13" customFormat="false" ht="15" hidden="false" customHeight="false" outlineLevel="0" collapsed="false">
      <c r="B13" s="40"/>
      <c r="C13" s="40"/>
      <c r="D13" s="40"/>
      <c r="E13" s="40"/>
      <c r="F13" s="40"/>
      <c r="G13" s="40"/>
      <c r="H13" s="40"/>
      <c r="I13" s="40"/>
      <c r="J13" s="40"/>
      <c r="K13" s="40"/>
    </row>
    <row r="14" customFormat="false" ht="15" hidden="false" customHeight="false" outlineLevel="0" collapsed="false">
      <c r="B14" s="40"/>
      <c r="C14" s="40"/>
      <c r="D14" s="40"/>
      <c r="E14" s="40"/>
      <c r="F14" s="40"/>
      <c r="G14" s="40"/>
      <c r="H14" s="40"/>
      <c r="I14" s="40"/>
      <c r="J14" s="40"/>
      <c r="K14" s="40"/>
    </row>
    <row r="15" customFormat="false" ht="15" hidden="false" customHeight="false" outlineLevel="0" collapsed="false">
      <c r="B15" s="40"/>
      <c r="C15" s="40"/>
      <c r="D15" s="40"/>
      <c r="E15" s="40"/>
      <c r="F15" s="40"/>
      <c r="G15" s="40"/>
      <c r="H15" s="40"/>
      <c r="I15" s="40"/>
      <c r="J15" s="40"/>
      <c r="K15" s="40"/>
    </row>
    <row r="16" customFormat="false" ht="15" hidden="false" customHeight="false" outlineLevel="0" collapsed="false">
      <c r="B16" s="40"/>
      <c r="C16" s="40"/>
      <c r="D16" s="40"/>
      <c r="E16" s="40"/>
      <c r="F16" s="40"/>
      <c r="G16" s="40"/>
      <c r="H16" s="40"/>
      <c r="I16" s="40"/>
      <c r="J16" s="40"/>
      <c r="K16" s="40"/>
    </row>
    <row r="17" customFormat="false" ht="15" hidden="false" customHeight="false" outlineLevel="0" collapsed="false">
      <c r="B17" s="40"/>
      <c r="C17" s="40"/>
      <c r="D17" s="40"/>
      <c r="E17" s="40"/>
      <c r="F17" s="40"/>
      <c r="G17" s="40"/>
      <c r="H17" s="40"/>
      <c r="I17" s="40"/>
      <c r="J17" s="40"/>
      <c r="K17" s="40"/>
    </row>
    <row r="18" customFormat="false" ht="15" hidden="false" customHeight="false" outlineLevel="0" collapsed="false">
      <c r="B18" s="40"/>
      <c r="C18" s="40"/>
      <c r="D18" s="40"/>
      <c r="E18" s="40"/>
      <c r="F18" s="40"/>
      <c r="G18" s="40"/>
      <c r="H18" s="40"/>
      <c r="I18" s="40"/>
      <c r="J18" s="40"/>
      <c r="K18" s="40"/>
    </row>
    <row r="19" customFormat="false" ht="15" hidden="false" customHeight="false" outlineLevel="0" collapsed="false">
      <c r="B19" s="40"/>
      <c r="C19" s="40"/>
      <c r="D19" s="40"/>
      <c r="E19" s="40"/>
      <c r="F19" s="40"/>
      <c r="G19" s="40"/>
      <c r="H19" s="40"/>
      <c r="I19" s="40"/>
      <c r="J19" s="40"/>
      <c r="K19" s="40"/>
    </row>
    <row r="20" customFormat="false" ht="15" hidden="false" customHeight="false" outlineLevel="0" collapsed="false">
      <c r="B20" s="40"/>
      <c r="C20" s="40"/>
      <c r="D20" s="40"/>
      <c r="E20" s="40"/>
      <c r="F20" s="40"/>
      <c r="G20" s="40"/>
      <c r="H20" s="40"/>
      <c r="I20" s="40"/>
      <c r="J20" s="40"/>
      <c r="K20" s="40"/>
    </row>
    <row r="21" customFormat="false" ht="15" hidden="false" customHeight="false" outlineLevel="0" collapsed="false">
      <c r="B21" s="40"/>
      <c r="C21" s="40"/>
      <c r="D21" s="40"/>
      <c r="E21" s="40"/>
      <c r="F21" s="40"/>
      <c r="G21" s="40"/>
      <c r="H21" s="40"/>
      <c r="I21" s="40"/>
      <c r="J21" s="40"/>
      <c r="K21" s="40"/>
    </row>
    <row r="22" customFormat="false" ht="15" hidden="false" customHeight="false" outlineLevel="0" collapsed="false">
      <c r="B22" s="40"/>
      <c r="C22" s="40"/>
      <c r="D22" s="40"/>
      <c r="E22" s="40"/>
      <c r="F22" s="40"/>
      <c r="G22" s="40"/>
      <c r="H22" s="40"/>
      <c r="I22" s="40"/>
      <c r="J22" s="40"/>
      <c r="K22" s="40"/>
    </row>
    <row r="23" customFormat="false" ht="15" hidden="false" customHeight="false" outlineLevel="0" collapsed="false">
      <c r="B23" s="40"/>
      <c r="C23" s="40"/>
      <c r="D23" s="40"/>
      <c r="E23" s="40"/>
      <c r="F23" s="40"/>
      <c r="G23" s="40"/>
      <c r="H23" s="40"/>
      <c r="I23" s="40"/>
      <c r="J23" s="40"/>
      <c r="K23" s="40"/>
    </row>
    <row r="24" customFormat="false" ht="15" hidden="false" customHeight="false" outlineLevel="0" collapsed="false">
      <c r="B24" s="40"/>
      <c r="C24" s="40"/>
      <c r="D24" s="40"/>
      <c r="E24" s="40"/>
      <c r="F24" s="40"/>
      <c r="G24" s="40"/>
      <c r="H24" s="40"/>
      <c r="I24" s="40"/>
      <c r="J24" s="40"/>
      <c r="K24" s="40"/>
    </row>
    <row r="25" customFormat="false" ht="15" hidden="false" customHeight="false" outlineLevel="0" collapsed="false">
      <c r="B25" s="40"/>
      <c r="C25" s="40"/>
      <c r="D25" s="40"/>
      <c r="E25" s="40"/>
      <c r="F25" s="40"/>
      <c r="G25" s="40"/>
      <c r="H25" s="40"/>
      <c r="I25" s="40"/>
      <c r="J25" s="40"/>
      <c r="K25" s="40"/>
    </row>
    <row r="26" customFormat="false" ht="15" hidden="false" customHeight="false" outlineLevel="0" collapsed="false">
      <c r="B26" s="40"/>
      <c r="C26" s="40"/>
      <c r="D26" s="40"/>
      <c r="E26" s="40"/>
      <c r="F26" s="40"/>
      <c r="G26" s="40"/>
      <c r="H26" s="40"/>
      <c r="I26" s="40"/>
      <c r="J26" s="40"/>
      <c r="K26" s="40"/>
    </row>
  </sheetData>
  <mergeCells count="3">
    <mergeCell ref="A1:L2"/>
    <mergeCell ref="A3:L3"/>
    <mergeCell ref="B6:K26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6178"/>
    <pageSetUpPr fitToPage="tru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13" min="5" style="0" width="10"/>
    <col collapsed="false" customWidth="true" hidden="false" outlineLevel="0" max="14" min="14" style="0" width="14"/>
  </cols>
  <sheetData>
    <row r="1" customFormat="false" ht="21.75" hidden="false" customHeight="true" outlineLevel="0" collapsed="false">
      <c r="A1" s="1" t="s">
        <v>116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1.7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9.5" hidden="false" customHeight="true" outlineLevel="0" collapsed="false">
      <c r="A3" s="2" t="s">
        <v>117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21.75" hidden="false" customHeight="true" outlineLevel="0" collapsed="false">
      <c r="A5" s="41" t="s">
        <v>118</v>
      </c>
      <c r="B5" s="41"/>
      <c r="C5" s="41"/>
      <c r="D5" s="41"/>
      <c r="E5" s="42" t="s">
        <v>119</v>
      </c>
      <c r="F5" s="42"/>
      <c r="G5" s="42"/>
      <c r="H5" s="41" t="s">
        <v>120</v>
      </c>
      <c r="I5" s="41"/>
      <c r="J5" s="41"/>
      <c r="K5" s="42" t="s">
        <v>121</v>
      </c>
      <c r="L5" s="42"/>
      <c r="M5" s="42"/>
      <c r="N5" s="41" t="s">
        <v>122</v>
      </c>
    </row>
    <row r="6" customFormat="false" ht="19.5" hidden="false" customHeight="true" outlineLevel="0" collapsed="false">
      <c r="A6" s="43" t="s">
        <v>123</v>
      </c>
      <c r="B6" s="43" t="s">
        <v>5</v>
      </c>
      <c r="C6" s="43" t="s">
        <v>4</v>
      </c>
      <c r="D6" s="43" t="s">
        <v>3</v>
      </c>
      <c r="E6" s="43" t="s">
        <v>124</v>
      </c>
      <c r="F6" s="43" t="s">
        <v>12</v>
      </c>
      <c r="G6" s="43" t="s">
        <v>125</v>
      </c>
      <c r="H6" s="43" t="s">
        <v>124</v>
      </c>
      <c r="I6" s="43" t="s">
        <v>12</v>
      </c>
      <c r="J6" s="43" t="s">
        <v>125</v>
      </c>
      <c r="K6" s="43" t="s">
        <v>124</v>
      </c>
      <c r="L6" s="43" t="s">
        <v>12</v>
      </c>
      <c r="M6" s="43" t="s">
        <v>125</v>
      </c>
      <c r="N6" s="43" t="s">
        <v>126</v>
      </c>
    </row>
    <row r="7" customFormat="false" ht="19.5" hidden="false" customHeight="true" outlineLevel="0" collapsed="false">
      <c r="A7" s="44" t="n">
        <v>1</v>
      </c>
      <c r="B7" s="26"/>
      <c r="C7" s="45" t="s">
        <v>8</v>
      </c>
      <c r="D7" s="46" t="s">
        <v>127</v>
      </c>
      <c r="E7" s="26"/>
      <c r="F7" s="11" t="str">
        <f aca="false">IF(COUNT(E7,G7)=2,(E7+G7)/2,"")</f>
        <v/>
      </c>
      <c r="G7" s="26"/>
      <c r="H7" s="26"/>
      <c r="I7" s="11" t="str">
        <f aca="false">IF(COUNT(H7,J7)=2,(H7+J7)/2,"")</f>
        <v/>
      </c>
      <c r="J7" s="26"/>
      <c r="K7" s="26"/>
      <c r="L7" s="11" t="str">
        <f aca="false">IF(COUNT(K7,M7)=2,(K7+M7)/2,"")</f>
        <v/>
      </c>
      <c r="M7" s="26"/>
      <c r="N7" s="26"/>
    </row>
    <row r="8" customFormat="false" ht="19.5" hidden="false" customHeight="true" outlineLevel="0" collapsed="false">
      <c r="A8" s="47" t="n">
        <v>3</v>
      </c>
      <c r="B8" s="26"/>
      <c r="C8" s="48" t="s">
        <v>128</v>
      </c>
      <c r="D8" s="49" t="s">
        <v>129</v>
      </c>
      <c r="E8" s="26"/>
      <c r="F8" s="11" t="str">
        <f aca="false">IF(COUNT(E8,G8)=2,(E8+G8)/2,"")</f>
        <v/>
      </c>
      <c r="G8" s="26"/>
      <c r="H8" s="26"/>
      <c r="I8" s="11" t="str">
        <f aca="false">IF(COUNT(H8,J8)=2,(H8+J8)/2,"")</f>
        <v/>
      </c>
      <c r="J8" s="26"/>
      <c r="K8" s="26"/>
      <c r="L8" s="11" t="str">
        <f aca="false">IF(COUNT(K8,M8)=2,(K8+M8)/2,"")</f>
        <v/>
      </c>
      <c r="M8" s="26"/>
      <c r="N8" s="26"/>
    </row>
    <row r="9" customFormat="false" ht="19.5" hidden="false" customHeight="true" outlineLevel="0" collapsed="false">
      <c r="A9" s="44" t="n">
        <v>5</v>
      </c>
      <c r="B9" s="26"/>
      <c r="C9" s="45" t="s">
        <v>130</v>
      </c>
      <c r="D9" s="46" t="s">
        <v>131</v>
      </c>
      <c r="E9" s="26"/>
      <c r="F9" s="11" t="str">
        <f aca="false">IF(COUNT(E9,G9)=2,(E9+G9)/2,"")</f>
        <v/>
      </c>
      <c r="G9" s="26"/>
      <c r="H9" s="26"/>
      <c r="I9" s="11" t="str">
        <f aca="false">IF(COUNT(H9,J9)=2,(H9+J9)/2,"")</f>
        <v/>
      </c>
      <c r="J9" s="26"/>
      <c r="K9" s="26"/>
      <c r="L9" s="11" t="str">
        <f aca="false">IF(COUNT(K9,M9)=2,(K9+M9)/2,"")</f>
        <v/>
      </c>
      <c r="M9" s="26"/>
      <c r="N9" s="26"/>
    </row>
    <row r="10" customFormat="false" ht="19.5" hidden="false" customHeight="true" outlineLevel="0" collapsed="false">
      <c r="A10" s="47" t="n">
        <v>7</v>
      </c>
      <c r="B10" s="26"/>
      <c r="C10" s="48"/>
      <c r="D10" s="49" t="s">
        <v>132</v>
      </c>
      <c r="E10" s="26"/>
      <c r="F10" s="11" t="str">
        <f aca="false">IF(COUNT(E10,G10)=2,(E10+G10)/2,"")</f>
        <v/>
      </c>
      <c r="G10" s="26"/>
      <c r="H10" s="26"/>
      <c r="I10" s="11" t="str">
        <f aca="false">IF(COUNT(H10,J10)=2,(H10+J10)/2,"")</f>
        <v/>
      </c>
      <c r="J10" s="26"/>
      <c r="K10" s="26"/>
      <c r="L10" s="11" t="str">
        <f aca="false">IF(COUNT(K10,M10)=2,(K10+M10)/2,"")</f>
        <v/>
      </c>
      <c r="M10" s="26"/>
      <c r="N10" s="26"/>
    </row>
    <row r="11" customFormat="false" ht="19.5" hidden="false" customHeight="true" outlineLevel="0" collapsed="false">
      <c r="A11" s="44" t="n">
        <v>8</v>
      </c>
      <c r="B11" s="26"/>
      <c r="C11" s="45"/>
      <c r="D11" s="46" t="s">
        <v>7</v>
      </c>
      <c r="E11" s="26"/>
      <c r="F11" s="11" t="str">
        <f aca="false">IF(COUNT(E11,G11)=2,(E11+G11)/2,"")</f>
        <v/>
      </c>
      <c r="G11" s="26"/>
      <c r="H11" s="26"/>
      <c r="I11" s="11" t="str">
        <f aca="false">IF(COUNT(H11,J11)=2,(H11+J11)/2,"")</f>
        <v/>
      </c>
      <c r="J11" s="26"/>
      <c r="K11" s="26"/>
      <c r="L11" s="11" t="str">
        <f aca="false">IF(COUNT(K11,M11)=2,(K11+M11)/2,"")</f>
        <v/>
      </c>
      <c r="M11" s="26"/>
      <c r="N11" s="26"/>
    </row>
    <row r="12" customFormat="false" ht="19.5" hidden="false" customHeight="true" outlineLevel="0" collapsed="false">
      <c r="A12" s="47" t="n">
        <v>9</v>
      </c>
      <c r="B12" s="26"/>
      <c r="C12" s="48"/>
      <c r="D12" s="49" t="s">
        <v>133</v>
      </c>
      <c r="E12" s="26"/>
      <c r="F12" s="11" t="str">
        <f aca="false">IF(COUNT(E12,G12)=2,(E12+G12)/2,"")</f>
        <v/>
      </c>
      <c r="G12" s="26"/>
      <c r="H12" s="26"/>
      <c r="I12" s="11" t="str">
        <f aca="false">IF(COUNT(H12,J12)=2,(H12+J12)/2,"")</f>
        <v/>
      </c>
      <c r="J12" s="26"/>
      <c r="K12" s="26"/>
      <c r="L12" s="11" t="str">
        <f aca="false">IF(COUNT(K12,M12)=2,(K12+M12)/2,"")</f>
        <v/>
      </c>
      <c r="M12" s="26"/>
      <c r="N12" s="26"/>
    </row>
    <row r="13" customFormat="false" ht="19.5" hidden="false" customHeight="true" outlineLevel="0" collapsed="false">
      <c r="A13" s="44" t="n">
        <v>10</v>
      </c>
      <c r="B13" s="26"/>
      <c r="C13" s="45"/>
      <c r="D13" s="46" t="s">
        <v>134</v>
      </c>
      <c r="E13" s="26"/>
      <c r="F13" s="11" t="str">
        <f aca="false">IF(COUNT(E13,G13)=2,(E13+G13)/2,"")</f>
        <v/>
      </c>
      <c r="G13" s="26"/>
      <c r="H13" s="26"/>
      <c r="I13" s="11" t="str">
        <f aca="false">IF(COUNT(H13,J13)=2,(H13+J13)/2,"")</f>
        <v/>
      </c>
      <c r="J13" s="26"/>
      <c r="K13" s="26"/>
      <c r="L13" s="11" t="str">
        <f aca="false">IF(COUNT(K13,M13)=2,(K13+M13)/2,"")</f>
        <v/>
      </c>
      <c r="M13" s="26"/>
      <c r="N13" s="26"/>
    </row>
    <row r="14" customFormat="false" ht="19.5" hidden="false" customHeight="true" outlineLevel="0" collapsed="false">
      <c r="A14" s="47" t="n">
        <v>11</v>
      </c>
      <c r="B14" s="26"/>
      <c r="C14" s="48"/>
      <c r="D14" s="49"/>
      <c r="E14" s="26"/>
      <c r="F14" s="11" t="str">
        <f aca="false">IF(COUNT(E14,G14)=2,(E14+G14)/2,"")</f>
        <v/>
      </c>
      <c r="G14" s="26"/>
      <c r="H14" s="26"/>
      <c r="I14" s="11" t="str">
        <f aca="false">IF(COUNT(H14,J14)=2,(H14+J14)/2,"")</f>
        <v/>
      </c>
      <c r="J14" s="26"/>
      <c r="K14" s="26"/>
      <c r="L14" s="11" t="str">
        <f aca="false">IF(COUNT(K14,M14)=2,(K14+M14)/2,"")</f>
        <v/>
      </c>
      <c r="M14" s="26"/>
      <c r="N14" s="26"/>
    </row>
    <row r="15" customFormat="false" ht="19.5" hidden="false" customHeight="true" outlineLevel="0" collapsed="false">
      <c r="A15" s="44" t="n">
        <v>12</v>
      </c>
      <c r="B15" s="26"/>
      <c r="C15" s="45"/>
      <c r="D15" s="46"/>
      <c r="E15" s="26"/>
      <c r="F15" s="11" t="str">
        <f aca="false">IF(COUNT(E15,G15)=2,(E15+G15)/2,"")</f>
        <v/>
      </c>
      <c r="G15" s="26"/>
      <c r="H15" s="26"/>
      <c r="I15" s="11" t="str">
        <f aca="false">IF(COUNT(H15,J15)=2,(H15+J15)/2,"")</f>
        <v/>
      </c>
      <c r="J15" s="26"/>
      <c r="K15" s="26"/>
      <c r="L15" s="11" t="str">
        <f aca="false">IF(COUNT(K15,M15)=2,(K15+M15)/2,"")</f>
        <v/>
      </c>
      <c r="M15" s="26"/>
      <c r="N15" s="26"/>
    </row>
    <row r="18" customFormat="false" ht="15" hidden="false" customHeight="true" outlineLevel="0" collapsed="false">
      <c r="A18" s="41" t="s">
        <v>118</v>
      </c>
      <c r="B18" s="41"/>
      <c r="C18" s="41"/>
      <c r="D18" s="42" t="s">
        <v>135</v>
      </c>
      <c r="E18" s="42"/>
      <c r="F18" s="42"/>
      <c r="G18" s="41" t="s">
        <v>136</v>
      </c>
      <c r="H18" s="41"/>
      <c r="I18" s="41"/>
      <c r="K18" s="50" t="s">
        <v>137</v>
      </c>
    </row>
    <row r="19" customFormat="false" ht="15" hidden="false" customHeight="true" outlineLevel="0" collapsed="false">
      <c r="A19" s="43" t="s">
        <v>4</v>
      </c>
      <c r="B19" s="43"/>
      <c r="C19" s="43"/>
      <c r="D19" s="43" t="s">
        <v>124</v>
      </c>
      <c r="E19" s="43" t="s">
        <v>12</v>
      </c>
      <c r="F19" s="43" t="s">
        <v>125</v>
      </c>
      <c r="G19" s="43" t="s">
        <v>124</v>
      </c>
      <c r="H19" s="43" t="s">
        <v>12</v>
      </c>
      <c r="I19" s="43" t="s">
        <v>125</v>
      </c>
      <c r="K19" s="51" t="s">
        <v>138</v>
      </c>
    </row>
    <row r="20" customFormat="false" ht="19.5" hidden="false" customHeight="true" outlineLevel="0" collapsed="false">
      <c r="A20" s="46" t="str">
        <f aca="false">C7</f>
        <v>Paper</v>
      </c>
      <c r="B20" s="46"/>
      <c r="C20" s="46"/>
      <c r="D20" s="26"/>
      <c r="E20" s="11" t="str">
        <f aca="false">IF(COUNT(D20,F20)=2,(D20+F20)/2,"")</f>
        <v/>
      </c>
      <c r="F20" s="26"/>
      <c r="G20" s="26"/>
      <c r="H20" s="11" t="str">
        <f aca="false">IF(COUNT(G20,I20)=2,(G20+I20)/2,"")</f>
        <v/>
      </c>
      <c r="I20" s="26"/>
      <c r="K20" s="51" t="s">
        <v>139</v>
      </c>
    </row>
    <row r="21" customFormat="false" ht="19.5" hidden="false" customHeight="true" outlineLevel="0" collapsed="false">
      <c r="A21" s="49" t="str">
        <f aca="false">C8</f>
        <v>Film (BOPP)</v>
      </c>
      <c r="B21" s="49"/>
      <c r="C21" s="49"/>
      <c r="D21" s="26"/>
      <c r="E21" s="11" t="str">
        <f aca="false">IF(COUNT(D21,F21)=2,(D21+F21)/2,"")</f>
        <v/>
      </c>
      <c r="F21" s="26"/>
      <c r="G21" s="26"/>
      <c r="H21" s="11" t="str">
        <f aca="false">IF(COUNT(G21,I21)=2,(G21+I21)/2,"")</f>
        <v/>
      </c>
      <c r="I21" s="26"/>
      <c r="K21" s="51" t="s">
        <v>140</v>
      </c>
    </row>
    <row r="22" customFormat="false" ht="19.5" hidden="false" customHeight="true" outlineLevel="0" collapsed="false">
      <c r="A22" s="46" t="str">
        <f aca="false">C9</f>
        <v>Clear</v>
      </c>
      <c r="B22" s="46"/>
      <c r="C22" s="46"/>
      <c r="D22" s="26"/>
      <c r="E22" s="11" t="str">
        <f aca="false">IF(COUNT(D22,F22)=2,(D22+F22)/2,"")</f>
        <v/>
      </c>
      <c r="F22" s="26"/>
      <c r="G22" s="26"/>
      <c r="H22" s="11" t="str">
        <f aca="false">IF(COUNT(G22,I22)=2,(G22+I22)/2,"")</f>
        <v/>
      </c>
      <c r="I22" s="26"/>
      <c r="K22" s="51" t="s">
        <v>141</v>
      </c>
    </row>
  </sheetData>
  <mergeCells count="13">
    <mergeCell ref="A1:N2"/>
    <mergeCell ref="A3:N3"/>
    <mergeCell ref="A5:D5"/>
    <mergeCell ref="E5:G5"/>
    <mergeCell ref="H5:J5"/>
    <mergeCell ref="K5:M5"/>
    <mergeCell ref="A18:C18"/>
    <mergeCell ref="D18:F18"/>
    <mergeCell ref="G18:I18"/>
    <mergeCell ref="A19:C19"/>
    <mergeCell ref="A20:C20"/>
    <mergeCell ref="A21:C21"/>
    <mergeCell ref="A22:C22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4D"/>
    <pageSetUpPr fitToPage="true"/>
  </sheetPr>
  <dimension ref="B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44"/>
    <col collapsed="false" customWidth="true" hidden="false" outlineLevel="0" max="5" min="5" style="0" width="30"/>
  </cols>
  <sheetData>
    <row r="1" customFormat="false" ht="25.5" hidden="false" customHeight="true" outlineLevel="0" collapsed="false">
      <c r="B1" s="1" t="s">
        <v>142</v>
      </c>
      <c r="C1" s="1"/>
      <c r="D1" s="1"/>
      <c r="E1" s="1"/>
    </row>
    <row r="2" customFormat="false" ht="25.5" hidden="false" customHeight="true" outlineLevel="0" collapsed="false">
      <c r="B2" s="1"/>
      <c r="C2" s="1"/>
      <c r="D2" s="1"/>
      <c r="E2" s="1"/>
    </row>
    <row r="3" customFormat="false" ht="15" hidden="false" customHeight="true" outlineLevel="0" collapsed="false">
      <c r="B3" s="2" t="s">
        <v>143</v>
      </c>
      <c r="C3" s="2"/>
      <c r="D3" s="2"/>
      <c r="E3" s="2"/>
    </row>
    <row r="5" customFormat="false" ht="25.5" hidden="false" customHeight="true" outlineLevel="0" collapsed="false">
      <c r="B5" s="52" t="s">
        <v>144</v>
      </c>
      <c r="C5" s="52" t="s">
        <v>145</v>
      </c>
      <c r="D5" s="52" t="s">
        <v>146</v>
      </c>
      <c r="E5" s="52" t="s">
        <v>147</v>
      </c>
    </row>
    <row r="6" customFormat="false" ht="30" hidden="false" customHeight="true" outlineLevel="0" collapsed="false">
      <c r="B6" s="53" t="s">
        <v>148</v>
      </c>
      <c r="C6" s="14" t="s">
        <v>149</v>
      </c>
      <c r="D6" s="14" t="s">
        <v>150</v>
      </c>
      <c r="E6" s="54" t="s">
        <v>151</v>
      </c>
    </row>
    <row r="7" customFormat="false" ht="30" hidden="false" customHeight="true" outlineLevel="0" collapsed="false">
      <c r="B7" s="53"/>
      <c r="C7" s="14" t="s">
        <v>152</v>
      </c>
      <c r="D7" s="14" t="s">
        <v>153</v>
      </c>
      <c r="E7" s="54"/>
    </row>
    <row r="8" customFormat="false" ht="30" hidden="false" customHeight="true" outlineLevel="0" collapsed="false">
      <c r="B8" s="55" t="s">
        <v>154</v>
      </c>
      <c r="C8" s="17" t="s">
        <v>155</v>
      </c>
      <c r="D8" s="17" t="s">
        <v>156</v>
      </c>
      <c r="E8" s="56" t="s">
        <v>157</v>
      </c>
    </row>
    <row r="9" customFormat="false" ht="30" hidden="false" customHeight="true" outlineLevel="0" collapsed="false">
      <c r="B9" s="55"/>
      <c r="C9" s="17" t="s">
        <v>158</v>
      </c>
      <c r="D9" s="17" t="s">
        <v>159</v>
      </c>
      <c r="E9" s="56"/>
    </row>
    <row r="10" customFormat="false" ht="30" hidden="false" customHeight="true" outlineLevel="0" collapsed="false">
      <c r="B10" s="53" t="s">
        <v>160</v>
      </c>
      <c r="C10" s="14" t="s">
        <v>161</v>
      </c>
      <c r="D10" s="14" t="s">
        <v>162</v>
      </c>
      <c r="E10" s="54" t="s">
        <v>163</v>
      </c>
    </row>
    <row r="11" customFormat="false" ht="30" hidden="false" customHeight="true" outlineLevel="0" collapsed="false">
      <c r="B11" s="53"/>
      <c r="C11" s="14" t="s">
        <v>164</v>
      </c>
      <c r="D11" s="14" t="s">
        <v>165</v>
      </c>
      <c r="E11" s="54"/>
    </row>
    <row r="12" customFormat="false" ht="30" hidden="false" customHeight="true" outlineLevel="0" collapsed="false">
      <c r="B12" s="55" t="s">
        <v>166</v>
      </c>
      <c r="C12" s="17" t="s">
        <v>167</v>
      </c>
      <c r="D12" s="17" t="s">
        <v>168</v>
      </c>
      <c r="E12" s="56" t="s">
        <v>169</v>
      </c>
    </row>
    <row r="13" customFormat="false" ht="30" hidden="false" customHeight="true" outlineLevel="0" collapsed="false">
      <c r="B13" s="53" t="s">
        <v>170</v>
      </c>
      <c r="C13" s="14" t="s">
        <v>171</v>
      </c>
      <c r="D13" s="14" t="s">
        <v>172</v>
      </c>
      <c r="E13" s="54" t="s">
        <v>173</v>
      </c>
    </row>
    <row r="14" customFormat="false" ht="30" hidden="false" customHeight="true" outlineLevel="0" collapsed="false">
      <c r="B14" s="55" t="s">
        <v>174</v>
      </c>
      <c r="C14" s="17" t="s">
        <v>175</v>
      </c>
      <c r="D14" s="17" t="s">
        <v>176</v>
      </c>
      <c r="E14" s="56" t="s">
        <v>177</v>
      </c>
    </row>
    <row r="15" customFormat="false" ht="30" hidden="false" customHeight="true" outlineLevel="0" collapsed="false">
      <c r="B15" s="53" t="s">
        <v>178</v>
      </c>
      <c r="C15" s="14" t="s">
        <v>179</v>
      </c>
      <c r="D15" s="14" t="s">
        <v>180</v>
      </c>
      <c r="E15" s="54" t="s">
        <v>181</v>
      </c>
    </row>
    <row r="16" customFormat="false" ht="30" hidden="false" customHeight="true" outlineLevel="0" collapsed="false">
      <c r="B16" s="55" t="s">
        <v>182</v>
      </c>
      <c r="C16" s="17" t="s">
        <v>183</v>
      </c>
      <c r="D16" s="17" t="s">
        <v>184</v>
      </c>
      <c r="E16" s="56" t="s">
        <v>185</v>
      </c>
    </row>
    <row r="17" customFormat="false" ht="30" hidden="false" customHeight="true" outlineLevel="0" collapsed="false">
      <c r="B17" s="55"/>
      <c r="C17" s="17" t="s">
        <v>186</v>
      </c>
      <c r="D17" s="17" t="s">
        <v>187</v>
      </c>
      <c r="E17" s="56"/>
    </row>
    <row r="18" customFormat="false" ht="30" hidden="false" customHeight="true" outlineLevel="0" collapsed="false">
      <c r="B18" s="53" t="s">
        <v>188</v>
      </c>
      <c r="C18" s="14" t="s">
        <v>189</v>
      </c>
      <c r="D18" s="14" t="s">
        <v>190</v>
      </c>
      <c r="E18" s="54" t="s">
        <v>191</v>
      </c>
    </row>
    <row r="19" customFormat="false" ht="30" hidden="false" customHeight="true" outlineLevel="0" collapsed="false">
      <c r="B19" s="53"/>
      <c r="C19" s="14" t="s">
        <v>192</v>
      </c>
      <c r="D19" s="14" t="s">
        <v>193</v>
      </c>
      <c r="E19" s="54"/>
    </row>
    <row r="20" customFormat="false" ht="30" hidden="false" customHeight="true" outlineLevel="0" collapsed="false">
      <c r="B20" s="55" t="s">
        <v>194</v>
      </c>
      <c r="C20" s="17" t="s">
        <v>195</v>
      </c>
      <c r="D20" s="17" t="s">
        <v>196</v>
      </c>
      <c r="E20" s="56" t="s">
        <v>197</v>
      </c>
    </row>
    <row r="21" customFormat="false" ht="30" hidden="false" customHeight="true" outlineLevel="0" collapsed="false">
      <c r="B21" s="53" t="s">
        <v>198</v>
      </c>
      <c r="C21" s="14" t="s">
        <v>199</v>
      </c>
      <c r="D21" s="14" t="s">
        <v>200</v>
      </c>
      <c r="E21" s="54" t="s">
        <v>201</v>
      </c>
    </row>
  </sheetData>
  <mergeCells count="12">
    <mergeCell ref="B1:E2"/>
    <mergeCell ref="B3:E3"/>
    <mergeCell ref="B6:B7"/>
    <mergeCell ref="E6:E7"/>
    <mergeCell ref="B8:B9"/>
    <mergeCell ref="E8:E9"/>
    <mergeCell ref="B10:B11"/>
    <mergeCell ref="E10:E11"/>
    <mergeCell ref="B16:B17"/>
    <mergeCell ref="E16:E17"/>
    <mergeCell ref="B18:B19"/>
    <mergeCell ref="E18:E19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2026-10-19T09:55:31Z</dcterms:created>
  <dc:creator>openpyxl</dc:creator>
  <dc:description/>
  <dc:language>en-US</dc:language>
  <cp:lastModifiedBy/>
  <dcterms:modified xsi:type="dcterms:W3CDTF">2026-10-19T09:55:31Z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